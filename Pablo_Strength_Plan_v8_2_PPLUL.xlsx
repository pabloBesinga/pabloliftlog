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8 PPLUL" sheetId="1" state="visible" r:id="rId3"/>
    <sheet name="Overview" sheetId="2" state="visible" r:id="rId4"/>
    <sheet name="Training Plan" sheetId="3" state="visible" r:id="rId5"/>
    <sheet name="Nutrition Plan" sheetId="4" state="visible" r:id="rId6"/>
    <sheet name="Weekly Schedul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<sst xmlns="http://schemas.openxmlformats.org/spreadsheetml/2006/main" count="997" uniqueCount="570">
  <si>
    <t xml:space="preserve">v8.2 — PPLUL SPLIT (updated 3 Oct 2026)</t>
  </si>
  <si>
    <t xml:space="preserve">Race is off, so the week is rebuilt as Push · Pull · Legs · Rest · Upper · Lower · Rest. Upper body goes from 2 to 3 sessions a week because the 29 Sep scan showed it flat while the legs grew. Legs are unchanged. Nutrition is unchanged — still in a deficit, so volume rises moderately rather than doubling.</t>
  </si>
  <si>
    <t xml:space="preserve">WEEKLY DIRECT SETS — v7.1 → v8</t>
  </si>
  <si>
    <t xml:space="preserve">Muscle group</t>
  </si>
  <si>
    <t xml:space="preserve">v7.1</t>
  </si>
  <si>
    <t xml:space="preserve">v8</t>
  </si>
  <si>
    <t xml:space="preserve">Change</t>
  </si>
  <si>
    <t xml:space="preserve">Where</t>
  </si>
  <si>
    <t xml:space="preserve">Back</t>
  </si>
  <si>
    <t xml:space="preserve">Tue: wide pulldown, chest-supported row, single-arm row, straight-arm pulldown · Fri: seated row, neutral-grip pulldown.</t>
  </si>
  <si>
    <t xml:space="preserve">Chest</t>
  </si>
  <si>
    <t xml:space="preserve">Mon: incline press, pec deck · Fri: flat machine press. Now spread over 2 days.</t>
  </si>
  <si>
    <t xml:space="preserve">Side delts</t>
  </si>
  <si>
    <t xml:space="preserve">Single-arm cable lateral raise on Mon and Fri.</t>
  </si>
  <si>
    <t xml:space="preserve">Rear delts</t>
  </si>
  <si>
    <t xml:space="preserve">Tue 3 sets, Fri 2 sets.</t>
  </si>
  <si>
    <t xml:space="preserve">Triceps</t>
  </si>
  <si>
    <t xml:space="preserve">Mon: seated dip machine + pushdown · Fri: pushdown.</t>
  </si>
  <si>
    <t xml:space="preserve">Biceps</t>
  </si>
  <si>
    <t xml:space="preserve">Tue: hammer curl · Fri: incline / cable curl.</t>
  </si>
  <si>
    <t xml:space="preserve">Quads</t>
  </si>
  <si>
    <t xml:space="preserve">Wed: V-squat, Smith split squat, leg extension · Sat: step-up.</t>
  </si>
  <si>
    <t xml:space="preserve">Hamstrings / posterior chain</t>
  </si>
  <si>
    <t xml:space="preserve">v8.2: seated leg curl added on Wed, so hamstrings are trained twice a week.</t>
  </si>
  <si>
    <t xml:space="preserve">WHAT CHANGED</t>
  </si>
  <si>
    <t xml:space="preserve">Day</t>
  </si>
  <si>
    <t xml:space="preserve">Why</t>
  </si>
  <si>
    <t xml:space="preserve">Split: U-L-R-U-L-R-R → Push-Pull-Legs-Rest-Upper-Lower-Rest</t>
  </si>
  <si>
    <t xml:space="preserve">All</t>
  </si>
  <si>
    <t xml:space="preserve">Race off frees the two run days. Upper body now gets 3 sessions a week.</t>
  </si>
  <si>
    <t xml:space="preserve">Race runs removed; Run Plan and Spartan Obstacles tabs removed</t>
  </si>
  <si>
    <t xml:space="preserve">—</t>
  </si>
  <si>
    <t xml:space="preserve">No longer needed. Thursday is optional golf or an easy walk.</t>
  </si>
  <si>
    <t xml:space="preserve">Burpee ladder removed</t>
  </si>
  <si>
    <t xml:space="preserve">Sat</t>
  </si>
  <si>
    <t xml:space="preserve">Race-only conditioning.</t>
  </si>
  <si>
    <t xml:space="preserve">NEW: Single-Arm Cable Lateral Raise 3×12–15/side</t>
  </si>
  <si>
    <t xml:space="preserve">Mon, Fri</t>
  </si>
  <si>
    <t xml:space="preserve">Side delts 3 → 6 sets. Placed between the presses on Monday so they do not tire each other out.</t>
  </si>
  <si>
    <t xml:space="preserve">NEW: Seated Dip Machine 3×10–12</t>
  </si>
  <si>
    <t xml:space="preserve">Mon</t>
  </si>
  <si>
    <t xml:space="preserve">Triceps 3 → 8 sets. Push-only, so no left-hand grip. Replaced the overhead tricep extension — single-arm and rope versions were both hard on the left hand.</t>
  </si>
  <si>
    <t xml:space="preserve">NEW: Neutral-Grip Lat Pulldown 3×10–12</t>
  </si>
  <si>
    <t xml:space="preserve">Fri</t>
  </si>
  <si>
    <t xml:space="preserve">Second lat angle of the week.</t>
  </si>
  <si>
    <t xml:space="preserve">Hammer Curl and Incline Curl 2 → 3 sets</t>
  </si>
  <si>
    <t xml:space="preserve">Tue, Fri</t>
  </si>
  <si>
    <t xml:space="preserve">Biceps 4 → 6 sets.</t>
  </si>
  <si>
    <t xml:space="preserve">Flat Machine Chest Press kept, both arms</t>
  </si>
  <si>
    <t xml:space="preserve">No iso-lateral machine and dumbbells are hard on the left hand.</t>
  </si>
  <si>
    <t xml:space="preserve">v8.1: Smith Machine Squat → V-Squat Machine 4×6–8</t>
  </si>
  <si>
    <t xml:space="preserve">Wed</t>
  </si>
  <si>
    <t xml:space="preserve">No grip demand at all (shoulder pads), back-supported, more quad focus. Starts fresh in the Lift Log.</t>
  </si>
  <si>
    <t xml:space="preserve">Smith Machine Bulgarian Split Squat set as the unilateral default</t>
  </si>
  <si>
    <t xml:space="preserve">Your go-to; the fixed path removes balance and grip.</t>
  </si>
  <si>
    <t xml:space="preserve">v8.2: Leg Press → Leg Extension 3×10–12 (both legs), supersetted with Seated Leg Curl 3×10–12</t>
  </si>
  <si>
    <t xml:space="preserve">Leg press repeated the V-squat pattern and added fatigue in a deficit. Leg extension hits rectus femoris; the leg curl gives hamstrings a second weekly session. Single-leg later if the left starts lagging.</t>
  </si>
  <si>
    <t xml:space="preserve">v8.2: stall rules added — small wins count, and a 10% reset after 3 stalled sessions</t>
  </si>
  <si>
    <t xml:space="preserve">Upper lifts have plateaued in the deficit. See Overview progression rules.</t>
  </si>
  <si>
    <t xml:space="preserve">Saturday hinge session unchanged</t>
  </si>
  <si>
    <t xml:space="preserve">RDL + rack pull + hip thrust + leg curl + step-up still fit.</t>
  </si>
  <si>
    <t xml:space="preserve">29 SEP SCAN (vs 20 AUG)</t>
  </si>
  <si>
    <t xml:space="preserve">Metric</t>
  </si>
  <si>
    <t xml:space="preserve">20 Aug</t>
  </si>
  <si>
    <t xml:space="preserve">29 Sep</t>
  </si>
  <si>
    <t xml:space="preserve">Read</t>
  </si>
  <si>
    <t xml:space="preserve">Weight (kg)</t>
  </si>
  <si>
    <t xml:space="preserve">Slow on the scale, but fat vs lean moved the right way.</t>
  </si>
  <si>
    <t xml:space="preserve">Body fat (%)</t>
  </si>
  <si>
    <t xml:space="preserve">Down 1.7 points.</t>
  </si>
  <si>
    <t xml:space="preserve">Fat mass (kg)</t>
  </si>
  <si>
    <t xml:space="preserve">1.6 kg of fat gone in ~6 weeks.</t>
  </si>
  <si>
    <t xml:space="preserve">Lean body mass (kg)</t>
  </si>
  <si>
    <t xml:space="preserve">Treat as optimistic — total body water rose 0.8 kg.</t>
  </si>
  <si>
    <t xml:space="preserve">Abdominal circumference (cm)</t>
  </si>
  <si>
    <t xml:space="preserve">Down 2.3 cm.</t>
  </si>
  <si>
    <t xml:space="preserve">Left arm lean (kg)</t>
  </si>
  <si>
    <t xml:space="preserve">Slight dip, inside scan noise. Watch it next scan.</t>
  </si>
  <si>
    <t xml:space="preserve">Right arm lean (kg)</t>
  </si>
  <si>
    <t xml:space="preserve">Flat.</t>
  </si>
  <si>
    <t xml:space="preserve">Torso lean (kg)</t>
  </si>
  <si>
    <t xml:space="preserve">Left leg lean (kg)</t>
  </si>
  <si>
    <t xml:space="preserve">Clear gain.</t>
  </si>
  <si>
    <t xml:space="preserve">Right leg lean (kg)</t>
  </si>
  <si>
    <t xml:space="preserve">Clear gain. Legs now matched.</t>
  </si>
  <si>
    <t xml:space="preserve">Deficit rules for the switch: first 2 weeks, keep one extra rep in reserve on everything. If reps drop two sessions running on the same weight, hold before adding anything. Target is still ~84 kg at 12% body fat. Next scan mid-November.</t>
  </si>
  <si>
    <t xml:space="preserve">PABLO — STRENGTH &amp; BALANCE PLAN (v8.2 PPLUL · 3 Oct 2026)</t>
  </si>
  <si>
    <t xml:space="preserve">Goal: stronger back / upper body / legs · balanced left-right · lean to ~84 kg at 12% body fat   |   Limited left-hand grip, straps on most pulls · Split: Push-Pull-Legs-Rest-Upper-Lower-Rest   |   The "v8 PPLUL" tab has the latest scan and what changed. Sections below are history from v7 (Jul → Aug scan); the progression and stop rules still apply.</t>
  </si>
  <si>
    <t xml:space="preserve">SCAN COMPARISON — WHAT THE LAST 7 WEEKS ACTUALLY DID</t>
  </si>
  <si>
    <t xml:space="preserve">3 Jul 2026</t>
  </si>
  <si>
    <t xml:space="preserve">20 Aug 2026</t>
  </si>
  <si>
    <t xml:space="preserve">Down 2.0 kg in 7 weeks — about 0.29 kg/week.</t>
  </si>
  <si>
    <t xml:space="preserve">Now rated OPTIMAL by Evolt. Good place to be.</t>
  </si>
  <si>
    <t xml:space="preserve">1.3 kg of the 2.0 kg lost was fat.</t>
  </si>
  <si>
    <t xml:space="preserve">Down 0.7 kg on paper — but this is inside BIA's margin of error. Your total body water is 52.4 kg; a 1% hydration difference between two scans moves 'lean mass' by ~0.5 kg on its own. Do not act on this until three scans point the same way.</t>
  </si>
  <si>
    <t xml:space="preserve">Skeletal muscle mass (kg)</t>
  </si>
  <si>
    <t xml:space="preserve">n/a</t>
  </si>
  <si>
    <t xml:space="preserve">Still rated HIGH. Nothing alarming, but the trend needs fixing.</t>
  </si>
  <si>
    <t xml:space="preserve">BMR (kcal)</t>
  </si>
  <si>
    <t xml:space="preserve">Dropped 15 kcal — small, expected with the weight loss.</t>
  </si>
  <si>
    <t xml:space="preserve">TEE / maintenance (kcal)</t>
  </si>
  <si>
    <t xml:space="preserve">Evolt's estimate, NOT a measurement. See the accuracy section below — your own 7 weeks of data say the real number is closer to 2,600.</t>
  </si>
  <si>
    <t xml:space="preserve">Visceral fat area (cm2)</t>
  </si>
  <si>
    <t xml:space="preserve">Optimal (range 50–100). Not a concern.</t>
  </si>
  <si>
    <t xml:space="preserve">Well under the 102 cm risk threshold.</t>
  </si>
  <si>
    <t xml:space="preserve">Bio age (years)</t>
  </si>
  <si>
    <t xml:space="preserve">Two years under your chronological age of 35.</t>
  </si>
  <si>
    <t xml:space="preserve">CORRECTION (asked and re-checked): I originally read the 0.7 kg lean-mass drop as a real problem and told you to eat MORE. That was over-reading two noisy data points. A 0.7 kg swing is within BIA's error band, and your actual rate of loss — 0.29 kg/week — was a good rate. The calorie target has been revised DOWN from 2,550 to a two-tier setup. See the Nutrition tab.</t>
  </si>
  <si>
    <t xml:space="preserve">LEFT vs RIGHT — THE MOST IMPORTANT NUMBER ON THIS SCAN</t>
  </si>
  <si>
    <t xml:space="preserve">Segment</t>
  </si>
  <si>
    <t xml:space="preserve">Left (lean kg)</t>
  </si>
  <si>
    <t xml:space="preserve">Right (lean kg)</t>
  </si>
  <si>
    <t xml:space="preserve">Difference</t>
  </si>
  <si>
    <t xml:space="preserve">What it means</t>
  </si>
  <si>
    <t xml:space="preserve">Arm</t>
  </si>
  <si>
    <t xml:space="preserve">Your LEFT arm carries MORE lean mass than your right. Evolt rates you BALANCED left-right.</t>
  </si>
  <si>
    <t xml:space="preserve">Leg</t>
  </si>
  <si>
    <t xml:space="preserve">1% apart. Effectively identical.</t>
  </si>
  <si>
    <t xml:space="preserve">This changes how we train your left side. The muscle is already there — the deficit is NEURAL (motor control and grip recruitment), not a size problem. So left-hand work in this plan is short, frequent, low-load and technique-focused, NOT heavy hypertrophy work. Frequency beats intensity for re-wiring recruitment.</t>
  </si>
  <si>
    <t xml:space="preserve">THE 75 kg TARGET — WHY IT MOVED TO 82–83 kg</t>
  </si>
  <si>
    <t xml:space="preserve">Item</t>
  </si>
  <si>
    <t xml:space="preserve">Value</t>
  </si>
  <si>
    <t xml:space="preserve">Your current lean body mass</t>
  </si>
  <si>
    <t xml:space="preserve">kg</t>
  </si>
  <si>
    <t xml:space="preserve">Muscle, bone, organs and water — everything that is not fat.</t>
  </si>
  <si>
    <t xml:space="preserve">Body fat % if you weighed 75 kg</t>
  </si>
  <si>
    <t xml:space="preserve">Not reachable, and not safe. Stage-day bodybuilders touch 4-5% for a matter of days. To reach 75 kg at a healthy 12% body fat you would have to give up about 6.8 kg of the lean mass you have spent a year building. That is the whole reason the target moved.</t>
  </si>
  <si>
    <t xml:space="preserve">Weight at 12% body fat (NEW TARGET)</t>
  </si>
  <si>
    <t xml:space="preserve">Visibly lean with abs showing, full strength retained, sustainable year-round. This is the number to aim at.</t>
  </si>
  <si>
    <t xml:space="preserve">Weight at 10% body fat (stretch)</t>
  </si>
  <si>
    <t xml:space="preserve">Only worth chasing after you have held 12% comfortably for a couple of months.</t>
  </si>
  <si>
    <t xml:space="preserve">Kg to lose from today</t>
  </si>
  <si>
    <t xml:space="preserve">At the new ~0.4 kg/week rate that is about 12 weeks, landing mid-November. You will be roughly 84.5 kg on race day in October - lighter than today, and no weaker.</t>
  </si>
  <si>
    <t xml:space="preserve">WHAT CHANGED IN THIS VERSION — AND WHY</t>
  </si>
  <si>
    <t xml:space="preserve">Reason</t>
  </si>
  <si>
    <t xml:space="preserve">CALORIES: two-tier, not one number</t>
  </si>
  <si>
    <t xml:space="preserve">REVISED. 2,300 kcal on lifting and rest days, 2,600 on the two run days — weekly average ~2,390. This is close to what you were already doing, with the extra food placed on the days that earned it. The earlier 2,550 figure was built on Evolt's TEE of 2,990, which the accuracy check below shows is too high.</t>
  </si>
  <si>
    <t xml:space="preserve">Goal changed: abs → strength</t>
  </si>
  <si>
    <t xml:space="preserve">The old plan was built around visible abs. You are now at 16.7% and rated optimal. The bottleneck is no longer fat — it is back and upper-body strength, so the program is rebuilt around that.</t>
  </si>
  <si>
    <t xml:space="preserve">Back is now trained heavy TWICE</t>
  </si>
  <si>
    <t xml:space="preserve">Monday = heavy VERTICAL pull (Lat Pulldown, 4 sets). Thursday = heavy HORIZONTAL pull (Seated Row / High Row, 4 sets). Previously you had one heavy pull day. Chest-Supported Row and Straight-Arm Pulldown added for thickness and lat isolation.</t>
  </si>
  <si>
    <t xml:space="preserve">Left-hand work re-framed</t>
  </si>
  <si>
    <t xml:space="preserve">Your scan says the left arm is not smaller — it is under-recruited. Grip work is now short, frequent and sub-maximal (motor control), not heavy loaded holds. Straps are mandatory on every heavy pull; the pull trains your back, the grip work trains your hand, and they are separate jobs.</t>
  </si>
  <si>
    <t xml:space="preserve">Wed + Sat are now run days</t>
  </si>
  <si>
    <t xml:space="preserve">Was passive recovery. You cannot finish a 5 km obstacle course on lifting alone. Wed = hills/intervals, Sat = longer steady. Full 7-week progression on the Run Plan tab.</t>
  </si>
  <si>
    <t xml:space="preserve">Race-specific carries added</t>
  </si>
  <si>
    <t xml:space="preserve">Bear-Hug Sandbag Carry (Tue) and Weighted Step-Up (Fri). The bucket carry and sandbag carry are the two most common Spartan obstacles and NEITHER needs grip — you hug or shoulder them. These are obstacles you can be genuinely good at.</t>
  </si>
  <si>
    <t xml:space="preserve">Burpee capacity is now trained</t>
  </si>
  <si>
    <t xml:space="preserve">Failed obstacle = 30 burpees. With limited left grip you should budget 4–5 failed grip obstacles — that is 120–150 burpees on top of 5 km. Friday finisher builds that. This is not pessimism, it is planning.</t>
  </si>
  <si>
    <t xml:space="preserve">Direct ab work reduced</t>
  </si>
  <si>
    <t xml:space="preserve">Was 4 sessions/week. Now 3 — your core gets hit hard by carries, Pallof, step-ups and running. Volume moved to where it buys more.</t>
  </si>
  <si>
    <t xml:space="preserve">Progression is unchanged</t>
  </si>
  <si>
    <t xml:space="preserve">Trigger-based, not calendar-based. Same rules as before, listed below. If it worked, do not fix it.</t>
  </si>
  <si>
    <t xml:space="preserve">v7: hip abduction added, adduction as insurance</t>
  </si>
  <si>
    <t xml:space="preserve">ADDED 5 Sep 2026. Hip Abductor Machine 3×12–15 on TUESDAY, supersetted with the calf raise (~3 min, not a new block) — glute medius was untrained, and it is the muscle behind the left knee caving on the squat and behind staying upright on uneven trail. Hip Adductor Machine 2×12–15 stays on the FRIDAY optional list: adductor magnus already gets plenty of work from the hinges, so this is end-range groin insurance, not a priority. Both machines need zero grip. Both are knee-health and post-race additions that happen to start now — they will not change your October result, which still rests on the burpee ladder and the week-5 obstacle simulation. Start light: novel adductor work is a reliable source of several days of limping, and you do not want that inside five weeks of the race.</t>
  </si>
  <si>
    <t xml:space="preserve">PROGRESSIVE OVERLOAD RULES (v8.2: small-wins and stall-reset rules added)</t>
  </si>
  <si>
    <t xml:space="preserve">• Trigger-based, not calendar-based — add weight when the rep target is met, not because a week passed.</t>
  </si>
  <si>
    <t xml:space="preserve">• KEY LIFTS (Lat Pulldown, Incline Press, V-Squat, Seated Row, RDL — 4 sets): add weight once ALL 4 sets hit the TOP of the rep range with clean form.</t>
  </si>
  <si>
    <t xml:space="preserve">• SECONDARY COMPOUNDS (3 sets, 8–12 reps): add weight once all 3 sets hit the top of the range.</t>
  </si>
  <si>
    <t xml:space="preserve">• ACCESSORIES / ISOLATION (2–3 sets): add weight once all sets hit the top of the range. These can progress faster, lower risk.</t>
  </si>
  <si>
    <t xml:space="preserve">• Increment: smallest plate or pin jump available (2.5–5 kg). Bigger jumps buy missed reps, not faster progress.</t>
  </si>
  <si>
    <t xml:space="preserve">• LEFT-PRIORITY RULE: log left and right separately on every unilateral movement. Left goes first, always. Only progress the weight if your LEFT side can also hit the new target.</t>
  </si>
  <si>
    <t xml:space="preserve">• HOLDS (dead hang): add time first, then reduce assistance.  SMALL WINS COUNT: if the next weight jump is too big, add ONE rep to one set instead (6,6,6,6 → 7,6,6,6). Use add-on plates or the half-pin where available.</t>
  </si>
  <si>
    <t xml:space="preserve">• You are in a deficit, so recovery is taxed. Reps drop two sessions running on the same weight → hold the weight. Two weeks running → deload 10% for one week, then resume.  STALL RESET (v8.2): a lift with no added rep or weight in 3 sessions → drop it 10% and build back over 2–3 weeks.</t>
  </si>
  <si>
    <t xml:space="preserve">• STOP RULE (post-stroke, non-negotiable): if your gait changes, your left side feels heavy or numb, your vision changes, or you get an unusual headache — stop the session. That is a medical signal, not a toughness test.</t>
  </si>
  <si>
    <t xml:space="preserve">MEDICAL NOTE: an obstacle race is a maximal-effort event in heat, with impact, crawling and inversion. You are three years post-stroke. Get your doctor's sign-off on race participation specifically — not just on gym training — before October, and ask about blood pressure under exertion and heat/hydration. Bring this plan to the appointment.</t>
  </si>
  <si>
    <t xml:space="preserve">IS THE EVOLT CALORIE NUMBER RIGHT?  (checked 20 Aug 2026)</t>
  </si>
  <si>
    <t xml:space="preserve">Number on the scan</t>
  </si>
  <si>
    <t xml:space="preserve">Verdict</t>
  </si>
  <si>
    <t xml:space="preserve">How it was checked</t>
  </si>
  <si>
    <t xml:space="preserve">BMR 1,942 kcal</t>
  </si>
  <si>
    <t xml:space="preserve">SOUND</t>
  </si>
  <si>
    <t xml:space="preserve">This is exactly Katch-McArdle: 370 + (21.6 x 72.8 kg lean mass) = 1,942. Not a rounded guess — the arithmetic matches to the kcal. It is also the right formula to use when you have a body-composition reading. Caveat: it is only as good as the lean-mass figure it is fed.</t>
  </si>
  <si>
    <t xml:space="preserve">TEE 2,990 kcal</t>
  </si>
  <si>
    <t xml:space="preserve">TOO HIGH — by roughly 10-15%</t>
  </si>
  <si>
    <t xml:space="preserve">2,990 / 1,942 = a flat 1.54 activity multiplier, i.e. the canned 'moderately active' setting from the questionnaire. It is not measured; the machine has no idea how you actually move. Your own data disagrees: 2.0 kg lost over 49 days is 230-315 kcal/day of real deficit, which puts your true maintenance somewhere around 2,500-2,700 depending on what you were actually eating.</t>
  </si>
  <si>
    <t xml:space="preserve">Calories 3,390-3,490 kcal</t>
  </si>
  <si>
    <t xml:space="preserve">IGNORE THIS ONE</t>
  </si>
  <si>
    <t xml:space="preserve">That panel is Evolt's MUSCLE GAIN recommendation — the goal toggle on your scan is set to MUSCLE GAIN, so it is TEE plus a bulking surplus. It is not maintenance and it is not for a cut. Eating it would put you ~800 kcal above maintenance.</t>
  </si>
  <si>
    <t xml:space="preserve">Protein 254-262 g</t>
  </si>
  <si>
    <t xml:space="preserve">OVERSHOOT</t>
  </si>
  <si>
    <t xml:space="preserve">That is ~3 g per kg of bodyweight. Useful protein tops out around 2.2 g/kg for someone lifting in a deficit — about 190-215 g for you. The rest is just expensive calories.</t>
  </si>
  <si>
    <t xml:space="preserve">Body fat 16.7%</t>
  </si>
  <si>
    <t xml:space="preserve">BROADLY RIGHT</t>
  </si>
  <si>
    <t xml:space="preserve">Cross-checked with the Navy tape method using your 85.2 cm waist: gives 15-18% depending on neck size. Evolt's 16.7% sits right in that band. This one you can trust within a couple of points.</t>
  </si>
  <si>
    <t xml:space="preserve">Lean mass 72.8 kg</t>
  </si>
  <si>
    <t xml:space="preserve">PROBABLY A LITTLE GENEROUS</t>
  </si>
  <si>
    <t xml:space="preserve">That is an FFMI of 25.8 at 168 cm, which is at the ceiling of what is normally seen without drugs. BIA tends to flatter lean mass in well-hydrated people. Likely real, but a couple of kg optimistic — which also drags the BMR figure up with it.</t>
  </si>
  <si>
    <t xml:space="preserve">THE RULE THAT MATTERS: a body scanner estimates, the bathroom scale measures. Weigh yourself daily, first thing, and use the 7-day AVERAGE. If that average is not moving down ~0.3-0.4 kg/week after two weeks, drop 150 kcal. If it is falling faster than 0.6 kg/week, add 150. Two weeks of your own trend data beats any machine's estimate — including this correction.</t>
  </si>
  <si>
    <t xml:space="preserve">MONDAY — PUSH:  Chest, Shoulders, Triceps   (~57 min)</t>
  </si>
  <si>
    <t xml:space="preserve">v8 PPLUL · Heaviest press first, isolation between the presses so they do not tire each other out.  ·  Left side first on all unilateral work  ·  RPE 7–8 (keep one extra rep in reserve for the first 2 weeks)</t>
  </si>
  <si>
    <t xml:space="preserve">Warm-up (~5 min) — not logged</t>
  </si>
  <si>
    <t xml:space="preserve">Exercise</t>
  </si>
  <si>
    <t xml:space="preserve">Muscle Group</t>
  </si>
  <si>
    <t xml:space="preserve">Sets</t>
  </si>
  <si>
    <t xml:space="preserve">Reps</t>
  </si>
  <si>
    <t xml:space="preserve">Rest</t>
  </si>
  <si>
    <t xml:space="preserve">Notes</t>
  </si>
  <si>
    <t xml:space="preserve">Band Pull-Apart</t>
  </si>
  <si>
    <t xml:space="preserve">Shoulders (rear delts) · upper back</t>
  </si>
  <si>
    <t xml:space="preserve">1</t>
  </si>
  <si>
    <t xml:space="preserve">20</t>
  </si>
  <si>
    <t xml:space="preserve">Straight arms, squeeze the shoulder blades.</t>
  </si>
  <si>
    <t xml:space="preserve">Band External Rotation</t>
  </si>
  <si>
    <t xml:space="preserve">Rotator cuff</t>
  </si>
  <si>
    <t xml:space="preserve">12 / side</t>
  </si>
  <si>
    <t xml:space="preserve">Elbow pinned at your side. Left first.</t>
  </si>
  <si>
    <t xml:space="preserve">Arm Circles + Shoulder CARs</t>
  </si>
  <si>
    <t xml:space="preserve">Shoulders (mobility)</t>
  </si>
  <si>
    <t xml:space="preserve">10 each way</t>
  </si>
  <si>
    <t xml:space="preserve">Slow, full circles.</t>
  </si>
  <si>
    <t xml:space="preserve">Incline Press Machine (ramp-up)</t>
  </si>
  <si>
    <t xml:space="preserve">Chest (upper) · front delts, triceps</t>
  </si>
  <si>
    <t xml:space="preserve">1–2</t>
  </si>
  <si>
    <t xml:space="preserve">8</t>
  </si>
  <si>
    <t xml:space="preserve">Light ramp-up sets before the working sets.</t>
  </si>
  <si>
    <t xml:space="preserve">KEY LIFT — Primary Press (~12 min)</t>
  </si>
  <si>
    <t xml:space="preserve">Incline Press Machine</t>
  </si>
  <si>
    <t xml:space="preserve">4</t>
  </si>
  <si>
    <t xml:space="preserve">6–8</t>
  </si>
  <si>
    <t xml:space="preserve">2 min</t>
  </si>
  <si>
    <t xml:space="preserve">Heaviest press of the week, done first. The machine removes the left-hand stabilising demand. Add weight once ALL 4 sets hit 8.</t>
  </si>
  <si>
    <t xml:space="preserve">Shoulders (~15 min) — lateral raise sits between the presses</t>
  </si>
  <si>
    <t xml:space="preserve">Single-Arm Cable Lateral Raise (LEFT first)</t>
  </si>
  <si>
    <t xml:space="preserve">Shoulders (side delts)</t>
  </si>
  <si>
    <t xml:space="preserve">3</t>
  </si>
  <si>
    <t xml:space="preserve">12–15 / side</t>
  </si>
  <si>
    <t xml:space="preserve">60 sec</t>
  </si>
  <si>
    <t xml:space="preserve">Placed BETWEEN the presses so the shoulder press is not done on already-tired pressing muscles. Cable at hand height, cuff strap on the left wrist. Lead with the elbow, stop at shoulder height. LEFT FIRST. Add weight once all sets hit 15.</t>
  </si>
  <si>
    <t xml:space="preserve">Machine Shoulder Press</t>
  </si>
  <si>
    <t xml:space="preserve">Shoulders (front delts) · side delts, triceps</t>
  </si>
  <si>
    <t xml:space="preserve">8–10</t>
  </si>
  <si>
    <t xml:space="preserve">90 sec</t>
  </si>
  <si>
    <t xml:space="preserve">Full range of motion — the machine removes grip instability. Add weight once all 3 sets hit 10.</t>
  </si>
  <si>
    <t xml:space="preserve">Chest Isolation (~6 min)</t>
  </si>
  <si>
    <t xml:space="preserve">Pec Deck / Cable Fly</t>
  </si>
  <si>
    <t xml:space="preserve">12–15</t>
  </si>
  <si>
    <t xml:space="preserve">Chest isolation with no grip or balance demand. Squeeze and hold 1 sec at peak contraction.</t>
  </si>
  <si>
    <t xml:space="preserve">Triceps (~12 min)</t>
  </si>
  <si>
    <t xml:space="preserve">Seated Dip Machine</t>
  </si>
  <si>
    <t xml:space="preserve">Triceps · lower chest, front delts</t>
  </si>
  <si>
    <t xml:space="preserve">10–12</t>
  </si>
  <si>
    <t xml:space="preserve">75 sec</t>
  </si>
  <si>
    <t xml:space="preserve">Replaces the overhead tricep extension (cable and rope versions were both hard on the left hand). You PUSH the handles down, so the left hand never has to grip — keep it open and press through the heel of the palm. Torso upright, elbows tucked back. Press to fully straight arms, squeeze 1 sec, control back up. No dip machine? Use a close-grip Smith machine bench press, bar resting in the heel of the palm. Add weight once all 3 sets hit 12.</t>
  </si>
  <si>
    <t xml:space="preserve">Rope Tricep Pushdown</t>
  </si>
  <si>
    <t xml:space="preserve">Straight sets after the dip machine. Rope is kinder on the left wrist than a straight bar. Elbows pinned to your sides, spread the rope at the bottom.</t>
  </si>
  <si>
    <t xml:space="preserve">Core (~6 min)</t>
  </si>
  <si>
    <t xml:space="preserve">Captain's Chair Leg Raise</t>
  </si>
  <si>
    <t xml:space="preserve">Core (lower abs) · hip flexors</t>
  </si>
  <si>
    <t xml:space="preserve">Forearms on the pads, no grip or hanging needed. Once all 3 sets hit 12 with control, add a 2-second pause at the top before adding anything else.</t>
  </si>
  <si>
    <t xml:space="preserve">TUESDAY — PULL:  Back, Rear Delts, Biceps   (~58 min)</t>
  </si>
  <si>
    <t xml:space="preserve">v8 PPLUL · Back is the priority, so the heaviest vertical pull of the week goes first.  ·  Straps on every heavy pull  ·  Left side first  ·  RPE 7–8</t>
  </si>
  <si>
    <t xml:space="preserve">Scapular Pulldown (light, straps)</t>
  </si>
  <si>
    <t xml:space="preserve">Back (lats) · lower traps</t>
  </si>
  <si>
    <t xml:space="preserve">12</t>
  </si>
  <si>
    <t xml:space="preserve">Shoulder blades down and back without bending the elbows. Primes the lats before the heavy pulldown.</t>
  </si>
  <si>
    <t xml:space="preserve">Band Face Pull</t>
  </si>
  <si>
    <t xml:space="preserve">Shoulders (rear delts) · rotator cuff, upper back</t>
  </si>
  <si>
    <t xml:space="preserve">15</t>
  </si>
  <si>
    <t xml:space="preserve">Pull to the forehead, elbows high.</t>
  </si>
  <si>
    <t xml:space="preserve">Dead Hang (assisted)</t>
  </si>
  <si>
    <t xml:space="preserve">Grip · lats, shoulders</t>
  </si>
  <si>
    <t xml:space="preserve">20 sec</t>
  </si>
  <si>
    <t xml:space="preserve">Easy hang to open the shoulders.</t>
  </si>
  <si>
    <t xml:space="preserve">KEY LIFT — Primary Vertical Pull (~12 min)</t>
  </si>
  <si>
    <t xml:space="preserve">Lat Pulldown (wide grip, straps)</t>
  </si>
  <si>
    <t xml:space="preserve">Back (lats) · upper back, biceps</t>
  </si>
  <si>
    <t xml:space="preserve">Heaviest vertical pull of the week, done first. Straps on BOTH hands so grip never limits the load. Bar to collarbone, elbows down and back. Add weight once ALL 4 sets hit 8. LAST SET STRAPLESS at ~60–70% of working weight, to grip failure — log it separately.</t>
  </si>
  <si>
    <t xml:space="preserve">Rows (~15 min)</t>
  </si>
  <si>
    <t xml:space="preserve">Chest-Supported Row (machine or T-bar, straps)</t>
  </si>
  <si>
    <t xml:space="preserve">Back (mid back) · lats, rear delts, biceps</t>
  </si>
  <si>
    <t xml:space="preserve">Chest pad takes lower back and torso stability out of it, so the left hand only has to hold. Squeeze the shoulder blades together, hold 1 sec at the top. Add weight once all 3 sets hit 10.</t>
  </si>
  <si>
    <t xml:space="preserve">Single-Arm Cable Row (strap, LEFT first)</t>
  </si>
  <si>
    <t xml:space="preserve">Back (lats, mid back) · obliques, biceps</t>
  </si>
  <si>
    <t xml:space="preserve">10 / side</t>
  </si>
  <si>
    <t xml:space="preserve">Cable at mid-chest height. Stand square and DO NOT let the torso rotate. Pull with the elbow, squeeze, control the return. LEFT ARM FIRST. Add weight once both sides hit 10 for all 3 sets.</t>
  </si>
  <si>
    <t xml:space="preserve">Superset (~8 min) — rest once per pair</t>
  </si>
  <si>
    <t xml:space="preserve">Straight-Arm Pulldown (rope, straps)</t>
  </si>
  <si>
    <t xml:space="preserve">Back (lats)</t>
  </si>
  <si>
    <t xml:space="preserve">2</t>
  </si>
  <si>
    <t xml:space="preserve">60 sec after pair</t>
  </si>
  <si>
    <t xml:space="preserve">Pure lat work with almost no grip and no biceps. Push the rope down and back with your armpits. 2 sets — the fly gets its 3rd set alone.</t>
  </si>
  <si>
    <t xml:space="preserve">Rear Delt Fly Machine</t>
  </si>
  <si>
    <t xml:space="preserve">Machine removes grip demand entirely. Rear delts are half of what makes a back look strong from behind.</t>
  </si>
  <si>
    <t xml:space="preserve">Biceps (~5 min)</t>
  </si>
  <si>
    <t xml:space="preserve">Hammer Curl (neutral grip, LEFT first)</t>
  </si>
  <si>
    <t xml:space="preserve">Biceps (brachialis) · forearms</t>
  </si>
  <si>
    <t xml:space="preserve">Now 3 sets. Neutral grip is easiest on the left wrist, and hammers build forearm mass that feeds back into grip. LEFT ARM FIRST, match the right. Add weight once all 3 sets hit 12.</t>
  </si>
  <si>
    <t xml:space="preserve">Grip / Neuro — LEFT HAND (~5 min)</t>
  </si>
  <si>
    <t xml:space="preserve">Dead Hang (assisted, band or foot on box)</t>
  </si>
  <si>
    <t xml:space="preserve">Grip (left hand) · forearms</t>
  </si>
  <si>
    <t xml:space="preserve">max sec</t>
  </si>
  <si>
    <t xml:space="preserve">Motor-control work for the left hand, not strength work. Three short honest holds beat one grinding max hold. Assist enough to hold 15–20 sec with an active shoulder. Add seconds first, then remove assistance.</t>
  </si>
  <si>
    <t xml:space="preserve">WEDNESDAY — LEGS:  V-Squat + Unilateral Leg   (~54 min)</t>
  </si>
  <si>
    <t xml:space="preserve">Same session as the old Tuesday Lower A. Legs were the standout on the 29 Sep scan, so nothing changes.  ·  Left leg first on all unilateral work  ·  RPE 7–8</t>
  </si>
  <si>
    <t xml:space="preserve">Warm-Up (~4 min)</t>
  </si>
  <si>
    <t xml:space="preserve">90/90 Hip Rotations</t>
  </si>
  <si>
    <t xml:space="preserve">Hips (mobility)</t>
  </si>
  <si>
    <t xml:space="preserve">8/side</t>
  </si>
  <si>
    <t xml:space="preserve">Slow and controlled. Opens the hips before loading.</t>
  </si>
  <si>
    <t xml:space="preserve">Bodyweight Squat</t>
  </si>
  <si>
    <t xml:space="preserve">Quads · glutes (warm-up)</t>
  </si>
  <si>
    <t xml:space="preserve">10</t>
  </si>
  <si>
    <t xml:space="preserve">Assess left-right balance before you put weight on the bar.</t>
  </si>
  <si>
    <t xml:space="preserve">Ankle Rocks (knee over toe)</t>
  </si>
  <si>
    <t xml:space="preserve">Calves · ankles (mobility)</t>
  </si>
  <si>
    <t xml:space="preserve">10/side</t>
  </si>
  <si>
    <t xml:space="preserve">NEW. Spartan is run on uneven ground and hills. Stiff ankles are how people roll them on trails.</t>
  </si>
  <si>
    <t xml:space="preserve">KEY LIFT — Primary Squat: V-Squat (~12 min)</t>
  </si>
  <si>
    <t xml:space="preserve">V-Squat Machine</t>
  </si>
  <si>
    <t xml:space="preserve">Quads · glutes, adductors</t>
  </si>
  <si>
    <t xml:space="preserve">v8.1 — replaces Smith Machine Squat. Shoulder pads carry the load, so the left hand does nothing, and the back support removes balance as a limiter. Feet shoulder-width, mid-platform; sit back and down as deep as you can with your lower back on the pad. Push evenly through both feet; left knee tracks over the toes. First session: find a weight that leaves ~2 reps in reserve — numbers will not match your Smith squat. Add weight once ALL 4 sets hit 8.</t>
  </si>
  <si>
    <t xml:space="preserve">Unilateral Leg Strength (~9 min)</t>
  </si>
  <si>
    <t xml:space="preserve">Smith Machine Bulgarian Split Squat (LEFT first)</t>
  </si>
  <si>
    <t xml:space="preserve">8–10 / leg</t>
  </si>
  <si>
    <t xml:space="preserve">Your go-to. The fixed bar path takes balance and grip out of it, so the working leg can push hard. Rear foot on a bench, bar on your upper back, most weight on the front foot; drop straight down until the back knee nearly touches the floor. LEFT LEG FIRST, match the right to whatever the left managed. Add weight once both legs hit 10 for all 3 sets. (Logged in the app as "Bulgarian Split Squat / Walking Lunge" to keep history.)</t>
  </si>
  <si>
    <t xml:space="preserve">Quad + Hamstring Isolation (~10 min) — superset, rest once per pair</t>
  </si>
  <si>
    <t xml:space="preserve">Leg Extension</t>
  </si>
  <si>
    <t xml:space="preserve">v8.2 — replaces Leg Press. Both legs for now: legs are even on the scan and the Smith split squat already covers left-vs-right. Hands on the side handles, no grip needed. Push evenly — both shins drive the pad up together. 1-sec squeeze at the top, 2 sec down. Add weight once all 3 sets hit 12. Every few weeks, finish the last set with a few LEFT-only reps; if the left cannot handle about half your two-leg weight, switch to single-leg.</t>
  </si>
  <si>
    <t xml:space="preserve">Seated Leg Curl</t>
  </si>
  <si>
    <t xml:space="preserve">Hamstrings</t>
  </si>
  <si>
    <t xml:space="preserve">v8.2 — added. Hamstrings were only trained on Saturday; this makes it twice a week. Squeeze both legs equally at peak contraction, slow on the way up.</t>
  </si>
  <si>
    <t xml:space="preserve">Calves + Hip Stability (~9 min) — superset, rest once per pair</t>
  </si>
  <si>
    <t xml:space="preserve">Standing Calf Raise</t>
  </si>
  <si>
    <t xml:space="preserve">Calves</t>
  </si>
  <si>
    <t xml:space="preserve">45 sec after pair</t>
  </si>
  <si>
    <t xml:space="preserve">Superset with the Hip Abductor Machine. Slow eccentric, 3 seconds down.</t>
  </si>
  <si>
    <t xml:space="preserve">Hip Abductor Machine</t>
  </si>
  <si>
    <t xml:space="preserve">Glutes (glute medius)</t>
  </si>
  <si>
    <t xml:space="preserve">Superset with the Standing Calf Raise. LEAN YOUR TORSO SLIGHTLY FORWARD to bias glute medius over TFL. Add weight once all 3 sets hit 15.</t>
  </si>
  <si>
    <t xml:space="preserve">Core + Balance (~7 min)</t>
  </si>
  <si>
    <t xml:space="preserve">Ab Crunch Machine (or Cable Crunch)</t>
  </si>
  <si>
    <t xml:space="preserve">Core (abs)</t>
  </si>
  <si>
    <t xml:space="preserve">Seated, loaded, progresses on the stack. Curl the ribs toward the hips; do not just hinge at the hip. Pause 1 sec at the bottom. Add weight once all 3 sets hit 15.</t>
  </si>
  <si>
    <t xml:space="preserve">Single-Leg Stand (left leg)</t>
  </si>
  <si>
    <t xml:space="preserve">Balance · ankle and hip stabilisers</t>
  </si>
  <si>
    <t xml:space="preserve">30 sec</t>
  </si>
  <si>
    <t xml:space="preserve">Near a wall. Once 30 sec is stable on both legs, progress to eyes closed rather than adding load.</t>
  </si>
  <si>
    <t xml:space="preserve">THURSDAY — REST   (optional light activity)</t>
  </si>
  <si>
    <t xml:space="preserve">Mid-week recovery between three lifting days and two more. Optional: golf, or a 20–30 min easy walk or incline walk. Nothing hard — the point is to recover for Friday and Saturday.</t>
  </si>
  <si>
    <t xml:space="preserve">FRIDAY — UPPER:  Horizontal Pull + Press, Arms   (~58 min)</t>
  </si>
  <si>
    <t xml:space="preserve">v8 PPLUL · Second hit for every upper muscle, at moderate loads. Back leads, chest second.  ·  Straps on every heavy pull  ·  Left side first  ·  RPE 7–8</t>
  </si>
  <si>
    <t xml:space="preserve">20–30 sec</t>
  </si>
  <si>
    <t xml:space="preserve">Decompresses the spine and primes the grip.</t>
  </si>
  <si>
    <t xml:space="preserve">External rotation. Protects the shoulder through all the pulling to come.</t>
  </si>
  <si>
    <t xml:space="preserve">12/side</t>
  </si>
  <si>
    <t xml:space="preserve">NEW. Cheap insurance for the rotator cuff, especially on the left.</t>
  </si>
  <si>
    <t xml:space="preserve">KEY LIFT — Primary Horizontal Pull (~12 min)</t>
  </si>
  <si>
    <t xml:space="preserve">Seated Cable Row or Machine High Row (straps)</t>
  </si>
  <si>
    <t xml:space="preserve">Back (mid back, lats) · rear delts, biceps</t>
  </si>
  <si>
    <t xml:space="preserve">Pick one machine and stick with it for the whole block. Retract the shoulder blades FIRST, then pull with the elbows. Chest up, no rocking. Add weight once ALL 4 sets hit 8. LAST SET STRAPLESS at ~60–70%, to grip failure — log it separately.</t>
  </si>
  <si>
    <t xml:space="preserve">Press (~9 min)</t>
  </si>
  <si>
    <t xml:space="preserve">Flat Machine Chest Press</t>
  </si>
  <si>
    <t xml:space="preserve">Chest · front delts, triceps</t>
  </si>
  <si>
    <t xml:space="preserve">Second chest day of the week, so it is moderate. Both arms — watch that the left handle is not lagging behind the right. 2 sec down, 1 sec up. Add weight once all 3 sets hit 10.</t>
  </si>
  <si>
    <t xml:space="preserve">Second Lat Angle (~8 min)</t>
  </si>
  <si>
    <t xml:space="preserve">Neutral-Grip Lat Pulldown (straps)</t>
  </si>
  <si>
    <t xml:space="preserve">Back (lats) · biceps, mid back</t>
  </si>
  <si>
    <t xml:space="preserve">Palms-facing handle, straps on both hands. Pull to upper chest, elbows tight to your sides. Lighter and higher-rep than Tuesday. Add weight once all 3 sets hit 12.</t>
  </si>
  <si>
    <t xml:space="preserve">Shoulders superset (~9 min) — rest once per pair</t>
  </si>
  <si>
    <t xml:space="preserve">Cuff strap on the left wrist. Lead with the elbow, stop at shoulder height. LEFT FIRST. Add weight once all sets hit 15.</t>
  </si>
  <si>
    <t xml:space="preserve">Lighter than Tuesday — chase the squeeze, not the load. The lateral raise gets its 3rd set alone.</t>
  </si>
  <si>
    <t xml:space="preserve">Arms superset (~9 min) — rest once per pair</t>
  </si>
  <si>
    <t xml:space="preserve">Incline DB Curl or Cable Curl (LEFT first)</t>
  </si>
  <si>
    <t xml:space="preserve">Biceps (long head)</t>
  </si>
  <si>
    <t xml:space="preserve">Now 3 sets. LEFT ARM FIRST, match the right to whatever the left managed. Add weight once all 3 sets hit 12.</t>
  </si>
  <si>
    <t xml:space="preserve">Lighter than Monday — 2 sets to finish the arms. The curl gets its 3rd set alone.</t>
  </si>
  <si>
    <t xml:space="preserve">SATURDAY — LOWER:  Hinge, posterior chain   (~50 min)</t>
  </si>
  <si>
    <t xml:space="preserve">Same session as the old Friday Lower B, minus the burpee ladder (race off).  ·  Straps mandatory on all pulls  ·  RPE 7–8</t>
  </si>
  <si>
    <t xml:space="preserve">Reinforces hip mobility before hinging.</t>
  </si>
  <si>
    <t xml:space="preserve">Broomstick Hip Hinge</t>
  </si>
  <si>
    <t xml:space="preserve">Hamstrings · glutes (hinge pattern)</t>
  </si>
  <si>
    <t xml:space="preserve">Grooves the hinge pattern before you load it.</t>
  </si>
  <si>
    <t xml:space="preserve">Glute Bridge</t>
  </si>
  <si>
    <t xml:space="preserve">Glutes (activation)</t>
  </si>
  <si>
    <t xml:space="preserve">NEW. Wakes the glutes so your lower back does not take over on the RDL.</t>
  </si>
  <si>
    <t xml:space="preserve">KEY LIFT — Primary Hinge (~12 min)</t>
  </si>
  <si>
    <t xml:space="preserve">Romanian Deadlift (Smith, straps)</t>
  </si>
  <si>
    <t xml:space="preserve">Hamstrings · glutes, lower back</t>
  </si>
  <si>
    <t xml:space="preserve">Hinge, do not squat — push the hips back, soft knees, bar stays close. The Smith bar plus straps removes grip from the equation completely. Add weight once ALL 4 sets hit 8.</t>
  </si>
  <si>
    <t xml:space="preserve">Heavy Pull (~9 min)</t>
  </si>
  <si>
    <t xml:space="preserve">Rack Pull (below knee, straps mandatory)</t>
  </si>
  <si>
    <t xml:space="preserve">Back (traps, upper back) · glutes, hamstrings, lower back</t>
  </si>
  <si>
    <t xml:space="preserve">5–6</t>
  </si>
  <si>
    <t xml:space="preserve">2–3 min</t>
  </si>
  <si>
    <t xml:space="preserve">Kept over a floor deadlift: the RDL and squat already cover the bottom range, and the rack pull loads traps and upper back heavy. After the cut, lower the pins a step at a time or use a trap bar if you want more range. Add weight once all 3 sets hit 6.</t>
  </si>
  <si>
    <t xml:space="preserve">Accessories (~14 min)</t>
  </si>
  <si>
    <t xml:space="preserve">Hip Thrust Machine</t>
  </si>
  <si>
    <t xml:space="preserve">Glutes · hamstrings</t>
  </si>
  <si>
    <t xml:space="preserve">Full hip extension, squeeze hard at the top.</t>
  </si>
  <si>
    <t xml:space="preserve">Squeeze both legs equally at peak contraction.</t>
  </si>
  <si>
    <t xml:space="preserve">Weighted Step-Up (40–50 cm box)</t>
  </si>
  <si>
    <t xml:space="preserve">Quads · glutes</t>
  </si>
  <si>
    <t xml:space="preserve">8 / leg</t>
  </si>
  <si>
    <t xml:space="preserve">Drive through the WHOLE foot on the box — do not push off the trailing leg. Left leg first. Dumbbells with straps, or hug a plate.</t>
  </si>
  <si>
    <t xml:space="preserve">Optional — only if you are under time</t>
  </si>
  <si>
    <t xml:space="preserve">Wrist Curl</t>
  </si>
  <si>
    <t xml:space="preserve">Forearms (flexors) · grip</t>
  </si>
  <si>
    <t xml:space="preserve">Forearm work feeds grip capacity. Left arm first, match the right's reps.</t>
  </si>
  <si>
    <t xml:space="preserve">Reverse Wrist Curl</t>
  </si>
  <si>
    <t xml:space="preserve">Forearms (extensors)</t>
  </si>
  <si>
    <t xml:space="preserve">Targets the extensors and balances the wrist. Left first.</t>
  </si>
  <si>
    <t xml:space="preserve">Hip Adductor Machine</t>
  </si>
  <si>
    <t xml:space="preserve">Adductors (inner thigh)</t>
  </si>
  <si>
    <t xml:space="preserve">45 sec</t>
  </si>
  <si>
    <t xml:space="preserve">Start genuinely light — novel adductor work is a reliable source of DOMS. Control the eccentric. Add weight once both sets hit 15.</t>
  </si>
  <si>
    <t xml:space="preserve">SUNDAY — FULL REST + MOBILITY   (~20 min, optional)</t>
  </si>
  <si>
    <t xml:space="preserve">Genuinely rest. You are training five days a week in a deficit — this is the day the adaptation actually happens.</t>
  </si>
  <si>
    <t xml:space="preserve">Optional Mobility Block</t>
  </si>
  <si>
    <t xml:space="preserve">Open Books (thoracic rotation)</t>
  </si>
  <si>
    <t xml:space="preserve">Upper back (thoracic mobility)</t>
  </si>
  <si>
    <t xml:space="preserve">Great for golf rotation and general thoracic mobility.</t>
  </si>
  <si>
    <t xml:space="preserve">Hip Flexor Stretch</t>
  </si>
  <si>
    <t xml:space="preserve">Hip flexors (mobility)</t>
  </si>
  <si>
    <t xml:space="preserve">30 sec/side</t>
  </si>
  <si>
    <t xml:space="preserve">Couch or kneeling stretch. Counters a day at a desk.</t>
  </si>
  <si>
    <t xml:space="preserve">Wall Early Extension Drill</t>
  </si>
  <si>
    <t xml:space="preserve">Hips (golf posture mobility)</t>
  </si>
  <si>
    <t xml:space="preserve">Golf posture. Maintain the spine angle.</t>
  </si>
  <si>
    <t xml:space="preserve">Thoracic Spine Foam Roll</t>
  </si>
  <si>
    <t xml:space="preserve">Mid-back, especially between the shoulder blades.</t>
  </si>
  <si>
    <t xml:space="preserve">Left Hand Grip Putty</t>
  </si>
  <si>
    <t xml:space="preserve">5 min</t>
  </si>
  <si>
    <t xml:space="preserve">Soft putty or a stress ball. Gentle, high-rep, pain-free. This is neuro-rehab, not training — do it while watching something.</t>
  </si>
  <si>
    <t xml:space="preserve">Box Breathing</t>
  </si>
  <si>
    <t xml:space="preserve">Recovery (breathing)</t>
  </si>
  <si>
    <t xml:space="preserve">4-4-4-4. Lowers cortisol and helps sleep, which matters more in a deficit.</t>
  </si>
  <si>
    <t xml:space="preserve">DAILY NUTRITION — TWO-TIER:  ~2,300 kcal on lifting/rest days  ·  ~2,570 kcal on run days</t>
  </si>
  <si>
    <t xml:space="preserve">REVISED DOWN from the 2,550 flat target. That figure was built on Evolt's TEE of 2,990, which your own 7 weeks of data show is roughly 10-15% too high — your true maintenance looks closer to 2,600. The meal plan below IS the run-day (Wed/Sat) template at ~2,570 kcal. On the other five days, apply the three subtractions in the table underneath it to land at ~2,300. Weekly average: ~2,390 kcal/day.</t>
  </si>
  <si>
    <t xml:space="preserve">Meal 1 — Pre/Post Workout   |   9:30–11:00 AM</t>
  </si>
  <si>
    <t xml:space="preserve">Biggest carb meal of the day. Fuels the session and the recovery from it.</t>
  </si>
  <si>
    <t xml:space="preserve">Food</t>
  </si>
  <si>
    <t xml:space="preserve">Amount</t>
  </si>
  <si>
    <t xml:space="preserve">kcal</t>
  </si>
  <si>
    <t xml:space="preserve">Protein (g)</t>
  </si>
  <si>
    <t xml:space="preserve">Carbs (g)</t>
  </si>
  <si>
    <t xml:space="preserve">Fat (g)</t>
  </si>
  <si>
    <t xml:space="preserve">Whey Protein (ON)</t>
  </si>
  <si>
    <t xml:space="preserve">30 g / 1 scoop</t>
  </si>
  <si>
    <t xml:space="preserve">Rolled Oats</t>
  </si>
  <si>
    <t xml:space="preserve">90 g</t>
  </si>
  <si>
    <t xml:space="preserve">Banana</t>
  </si>
  <si>
    <t xml:space="preserve">1 medium</t>
  </si>
  <si>
    <t xml:space="preserve">MEAL TOTAL</t>
  </si>
  <si>
    <t xml:space="preserve">Meal 2 — Chicken + Rice   |   1:00–2:00 PM</t>
  </si>
  <si>
    <t xml:space="preserve">Built around YOUR packed serving: 130 g cooked chicken breast, not 150 g. Rice at 200 g is the biggest carb hit of the day, sitting right after your session.</t>
  </si>
  <si>
    <t xml:space="preserve">Chicken Breast</t>
  </si>
  <si>
    <t xml:space="preserve">130 g (1 packed serving)</t>
  </si>
  <si>
    <t xml:space="preserve">Cooked White Rice</t>
  </si>
  <si>
    <t xml:space="preserve">200 g</t>
  </si>
  <si>
    <t xml:space="preserve">Broccoli</t>
  </si>
  <si>
    <t xml:space="preserve">100 g</t>
  </si>
  <si>
    <t xml:space="preserve">Boiled Eggs</t>
  </si>
  <si>
    <t xml:space="preserve">2 pcs</t>
  </si>
  <si>
    <t xml:space="preserve">Meal 3 — Afternoon Snack   |   4:30–5:00 PM</t>
  </si>
  <si>
    <t xml:space="preserve">Rice cakes removed at your request and swapped for cooked white rice — same calories, same job, and it is already in your Sunday batch-cook. Almonds stay for the fat target. If you would rather not eat rice three times a day, use the carb swap table at the bottom of this tab — anything on it trades one-for-one.</t>
  </si>
  <si>
    <t xml:space="preserve">Whole Eggs</t>
  </si>
  <si>
    <t xml:space="preserve">160 g</t>
  </si>
  <si>
    <t xml:space="preserve">Almonds</t>
  </si>
  <si>
    <t xml:space="preserve">15 g</t>
  </si>
  <si>
    <t xml:space="preserve">Meal 4 — Eggs + Light Carb   |   7:00–7:30 PM</t>
  </si>
  <si>
    <t xml:space="preserve">Smallest meal, and where the calories from the smaller chicken servings were put back — oats raised 40 g to 60 g. Keeps protein spread evenly across the day, which matters more in a deficit.</t>
  </si>
  <si>
    <t xml:space="preserve">Egg Whites</t>
  </si>
  <si>
    <t xml:space="preserve">4 pcs</t>
  </si>
  <si>
    <t xml:space="preserve">60 g</t>
  </si>
  <si>
    <t xml:space="preserve">Meal 5 — Chicken + Veg + Rice   |   10:30–11:00 PM</t>
  </si>
  <si>
    <t xml:space="preserve">Late meal for your long day. Second 130 g packed chicken serving. Nighttime carbs do not make you fat — total daily calories do.</t>
  </si>
  <si>
    <t xml:space="preserve">150 g</t>
  </si>
  <si>
    <t xml:space="preserve">120 g</t>
  </si>
  <si>
    <t xml:space="preserve">Boiled Egg</t>
  </si>
  <si>
    <t xml:space="preserve">1 pc</t>
  </si>
  <si>
    <t xml:space="preserve">DAILY TOTAL</t>
  </si>
  <si>
    <t xml:space="preserve">PLAN AS WRITTEN = RUN DAY (Wed/Sat)</t>
  </si>
  <si>
    <t xml:space="preserve">RUN-DAY TARGET</t>
  </si>
  <si>
    <t xml:space="preserve">VARIANCE</t>
  </si>
  <si>
    <t xml:space="preserve">NON-RUN DAYS (Mon · Tue · Thu · Fri · Sun) — SUBTRACT THESE THREE THINGS</t>
  </si>
  <si>
    <t xml:space="preserve">Five days a week you are not running, so you do not need the running fuel. Make these three cuts — all carbs, protein and fat stay untouched — and the day lands at ~2,316 kcal.</t>
  </si>
  <si>
    <t xml:space="preserve">From → To</t>
  </si>
  <si>
    <t xml:space="preserve">Meal 2 — cooked white rice</t>
  </si>
  <si>
    <t xml:space="preserve">200 g → 120 g</t>
  </si>
  <si>
    <t xml:space="preserve">Meal 3 — cooked white rice</t>
  </si>
  <si>
    <t xml:space="preserve">160 g → 100 g</t>
  </si>
  <si>
    <t xml:space="preserve">Meal 5 — cooked white rice</t>
  </si>
  <si>
    <t xml:space="preserve">120 g → 60 g</t>
  </si>
  <si>
    <t xml:space="preserve">NON-RUN DAY TOTAL</t>
  </si>
  <si>
    <t xml:space="preserve">KEY RULES</t>
  </si>
  <si>
    <t xml:space="preserve">Rule</t>
  </si>
  <si>
    <t xml:space="preserve">Detail</t>
  </si>
  <si>
    <t xml:space="preserve">Protein floor</t>
  </si>
  <si>
    <t xml:space="preserve">Never go below 190 g. You are now running ~205 g (2.3 g/kg) after the move to 130 g chicken servings — still comfortably in the useful range. If you packed a spare serving, adding a third 130 g portion anywhere lifts you back to ~245 g; that is more than you need, so only do it on a day you are short elsewhere.</t>
  </si>
  <si>
    <t xml:space="preserve">Carb timing</t>
  </si>
  <si>
    <t xml:space="preserve">Heaviest around your morning session, but spread across all five meals. Carbs at night are fine — total daily calories are what matter.</t>
  </si>
  <si>
    <t xml:space="preserve">Hydration</t>
  </si>
  <si>
    <t xml:space="preserve">3 L water daily, more on run days. Add electrolytes on Wed and Sat once you are running in heat.</t>
  </si>
  <si>
    <t xml:space="preserve">Post-stroke note</t>
  </si>
  <si>
    <t xml:space="preserve">Watch sodium and keep monitoring your blood pressure, particularly as you add running volume. Raise any change with your doctor.</t>
  </si>
  <si>
    <t xml:space="preserve">Weekly check</t>
  </si>
  <si>
    <t xml:space="preserve">Weigh daily, first thing, and act on the 7-DAY AVERAGE only — never a single day. Target ~0.3-0.4 kg/week. Flat for two weeks → subtract 150 kcal. Faster than 0.6 kg/week → add 150 kcal. This trend is a better instrument than any scanner estimate, including Evolt's.</t>
  </si>
  <si>
    <t xml:space="preserve">Re-scan cadence</t>
  </si>
  <si>
    <t xml:space="preserve">Evolt every 6-8 weeks; next around mid-October. Treat every number on it as an ESTIMATE with error bars — especially TEE, which is a questionnaire multiplier, not a measurement. Compare scans to each other, never trust one in isolation.</t>
  </si>
  <si>
    <t xml:space="preserve">Race week</t>
  </si>
  <si>
    <t xml:space="preserve">Do not run a deficit in race week. Eat at maintenance (~2,600, not Evolt's 2,990) and raise carbs. Turn up rested and fuelled.</t>
  </si>
  <si>
    <t xml:space="preserve">Meal prep</t>
  </si>
  <si>
    <t xml:space="preserve">Everything here is still single-handed-friendly. Batch-cook rice, chicken and eggs on Sunday — with the rice cakes gone, rice is now the carb in three of your five meals, so cook it in one go.</t>
  </si>
  <si>
    <t xml:space="preserve">CARB SWAPS — all roughly interchangeable, ~200-210 kcal per portion</t>
  </si>
  <si>
    <t xml:space="preserve">Swap any carb portion in the plan for any of these. Match the CALORIES, not the grams. Protein and fat sources stay as written.</t>
  </si>
  <si>
    <t xml:space="preserve">Carb source</t>
  </si>
  <si>
    <t xml:space="preserve">Portion</t>
  </si>
  <si>
    <t xml:space="preserve">Cooked white rice (default)</t>
  </si>
  <si>
    <t xml:space="preserve">Sweet potato / kamote, boiled</t>
  </si>
  <si>
    <t xml:space="preserve">240 g</t>
  </si>
  <si>
    <t xml:space="preserve">Potato, boiled</t>
  </si>
  <si>
    <t xml:space="preserve">250 g</t>
  </si>
  <si>
    <t xml:space="preserve">Rolled oats, dry</t>
  </si>
  <si>
    <t xml:space="preserve">55 g</t>
  </si>
  <si>
    <t xml:space="preserve">Banana (lakatan or saba)</t>
  </si>
  <si>
    <t xml:space="preserve">2 medium</t>
  </si>
  <si>
    <t xml:space="preserve">Pandesal</t>
  </si>
  <si>
    <t xml:space="preserve">3 pcs</t>
  </si>
  <si>
    <t xml:space="preserve">Cooked pasta</t>
  </si>
  <si>
    <t xml:space="preserve">145 g</t>
  </si>
  <si>
    <t xml:space="preserve">Note: oats, pandesal and pasta bring a little extra protein and fat with them — fine, but if you swap in all three on the same day your fat will run ~8-10 g over. Trim the almonds in Meal 3 that day.</t>
  </si>
  <si>
    <t xml:space="preserve">WEEKLY SCHEDULE — PUSH · PULL · LEGS · REST · UPPER · LOWER · REST</t>
  </si>
  <si>
    <t xml:space="preserve">v8 (30 Sep 2026): race is off, so the two run days became a 5th lifting day and a mid-week rest day. Upper body is now trained 3 times a week because the 29 Sep scan showed it flat while the legs grew.</t>
  </si>
  <si>
    <t xml:space="preserve">Focus</t>
  </si>
  <si>
    <t xml:space="preserve">Calories</t>
  </si>
  <si>
    <t xml:space="preserve">Duration</t>
  </si>
  <si>
    <t xml:space="preserve">Key lift / session note</t>
  </si>
  <si>
    <t xml:space="preserve">MONDAY</t>
  </si>
  <si>
    <t xml:space="preserve">PUSH — chest, shoulders, triceps</t>
  </si>
  <si>
    <t xml:space="preserve">≈2,300</t>
  </si>
  <si>
    <t xml:space="preserve">~57 min</t>
  </si>
  <si>
    <t xml:space="preserve">KEY LIFT: Incline Press Machine 4×6–8. New: single-arm lateral raise and seated dip machine.</t>
  </si>
  <si>
    <t xml:space="preserve">TUESDAY</t>
  </si>
  <si>
    <t xml:space="preserve">PULL — back, rear delts, biceps</t>
  </si>
  <si>
    <t xml:space="preserve">~58 min</t>
  </si>
  <si>
    <t xml:space="preserve">KEY LIFT: Lat Pulldown 4×6–8, straps (last set strapless). Hammer curl now 3 sets.</t>
  </si>
  <si>
    <t xml:space="preserve">WEDNESDAY</t>
  </si>
  <si>
    <t xml:space="preserve">LEGS — squat + unilateral, quad focus</t>
  </si>
  <si>
    <t xml:space="preserve">~53 min</t>
  </si>
  <si>
    <t xml:space="preserve">KEY LIFT: V-Squat Machine 4×6–8. v8.2: leg extension + leg curl superset replaces leg press.</t>
  </si>
  <si>
    <t xml:space="preserve">THURSDAY</t>
  </si>
  <si>
    <t xml:space="preserve">REST — optional golf or easy walk</t>
  </si>
  <si>
    <t xml:space="preserve">Recover for Friday and Saturday. Nothing hard.</t>
  </si>
  <si>
    <t xml:space="preserve">FRIDAY</t>
  </si>
  <si>
    <t xml:space="preserve">UPPER — horizontal pull + press, arms</t>
  </si>
  <si>
    <t xml:space="preserve">KEY LIFT: Seated Row / High Row 4×6–8 (last set strapless). New: neutral-grip pulldown.</t>
  </si>
  <si>
    <t xml:space="preserve">SATURDAY</t>
  </si>
  <si>
    <t xml:space="preserve">LOWER — hinge, posterior chain</t>
  </si>
  <si>
    <t xml:space="preserve">~50 min</t>
  </si>
  <si>
    <t xml:space="preserve">KEY LIFT: Smith RDL 4×6–8. Same as the old Friday, burpee ladder removed.</t>
  </si>
  <si>
    <t xml:space="preserve">SUNDAY</t>
  </si>
  <si>
    <t xml:space="preserve">REST — full rest + optional mobility</t>
  </si>
  <si>
    <t xml:space="preserve">~20 min</t>
  </si>
  <si>
    <t xml:space="preserve">Genuinely rest. Prioritise sleep.</t>
  </si>
  <si>
    <t xml:space="preserve">MILESTONES</t>
  </si>
  <si>
    <t xml:space="preserve">When</t>
  </si>
  <si>
    <t xml:space="preserve">Milestone</t>
  </si>
  <si>
    <t xml:space="preserve">Now — 20 Aug 2026</t>
  </si>
  <si>
    <t xml:space="preserve">87.4 kg · 16.7% body fat · 72.8 kg lean mass. Baseline.</t>
  </si>
  <si>
    <t xml:space="preserve">Mid-Sep 2026</t>
  </si>
  <si>
    <t xml:space="preserve">~86 kg. Week 5 obstacle simulation — record your time, this is your benchmark.</t>
  </si>
  <si>
    <t xml:space="preserve">30 Sep 2026</t>
  </si>
  <si>
    <t xml:space="preserve">Race called off. Switched to v8 PPLUL: upper body 3× per week.</t>
  </si>
  <si>
    <t xml:space="preserve">Mid-Oct 2026</t>
  </si>
  <si>
    <t xml:space="preserve">Re-scan on Evolt. Target: lean mass at or above 72.8 kg. That is the number that matters.</t>
  </si>
  <si>
    <t xml:space="preserve">Mid-Nov 2026</t>
  </si>
  <si>
    <t xml:space="preserve">Next Evolt scan (~6–7 weeks into PPLUL). Look for arm and torso lean mass rising, left arm back level with the right, and fat still falling.</t>
  </si>
  <si>
    <t xml:space="preserve">After that</t>
  </si>
  <si>
    <t xml:space="preserve">Stop cutting. Eat at maintenance and put everything into strength. You will not have to cut again for a long time.</t>
  </si>
</sst>
</file>

<file path=xl/styles.xml><?xml version="1.0" encoding="utf-8"?>
<styleSheet xmlns="http://schemas.openxmlformats.org/spreadsheetml/2006/main">
  <numFmts count="8">
    <numFmt numFmtId="164" formatCode="General"/>
    <numFmt numFmtId="165" formatCode="\+0;\-0;0"/>
    <numFmt numFmtId="166" formatCode="\+0.00;\-0.00;0"/>
    <numFmt numFmtId="167" formatCode="\+0.0;\-0.0;0.0"/>
    <numFmt numFmtId="168" formatCode="\+0.00;\-0.00;0.00"/>
    <numFmt numFmtId="169" formatCode="0.0"/>
    <numFmt numFmtId="170" formatCode="0.0%"/>
    <numFmt numFmtId="171"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10"/>
      <color rgb="FF000000"/>
      <name val="Arial"/>
      <family val="0"/>
      <charset val="1"/>
    </font>
    <font>
      <b val="true"/>
      <sz val="11"/>
      <color rgb="FFFFFFFF"/>
      <name val="Arial"/>
      <family val="0"/>
      <charset val="1"/>
    </font>
    <font>
      <b val="true"/>
      <sz val="10"/>
      <color rgb="FF000000"/>
      <name val="Arial"/>
      <family val="0"/>
      <charset val="1"/>
    </font>
    <font>
      <b val="true"/>
      <sz val="11"/>
      <color rgb="FF000000"/>
      <name val="Arial"/>
      <family val="0"/>
      <charset val="1"/>
    </font>
    <font>
      <sz val="10"/>
      <name val="Arial"/>
      <family val="0"/>
      <charset val="1"/>
    </font>
    <font>
      <sz val="10"/>
      <color rgb="FF1F3864"/>
      <name val="Arial"/>
      <family val="0"/>
      <charset val="1"/>
    </font>
    <font>
      <b val="true"/>
      <sz val="13"/>
      <color rgb="FFFFFFFF"/>
      <name val="Arial"/>
      <family val="0"/>
      <charset val="1"/>
    </font>
    <font>
      <b val="true"/>
      <sz val="10"/>
      <name val="Arial"/>
      <family val="0"/>
      <charset val="1"/>
    </font>
  </fonts>
  <fills count="14">
    <fill>
      <patternFill patternType="none"/>
    </fill>
    <fill>
      <patternFill patternType="gray125"/>
    </fill>
    <fill>
      <patternFill patternType="solid">
        <fgColor rgb="FF1F3864"/>
        <bgColor rgb="FF333333"/>
      </patternFill>
    </fill>
    <fill>
      <patternFill patternType="solid">
        <fgColor rgb="FFF2F2F2"/>
        <bgColor rgb="FFE2EFDA"/>
      </patternFill>
    </fill>
    <fill>
      <patternFill patternType="solid">
        <fgColor rgb="FF146C6C"/>
        <bgColor rgb="FF008080"/>
      </patternFill>
    </fill>
    <fill>
      <patternFill patternType="solid">
        <fgColor rgb="FFDCE6F1"/>
        <bgColor rgb="FFE2EFDA"/>
      </patternFill>
    </fill>
    <fill>
      <patternFill patternType="solid">
        <fgColor rgb="FFF8CBAD"/>
        <bgColor rgb="FFFCE4D6"/>
      </patternFill>
    </fill>
    <fill>
      <patternFill patternType="solid">
        <fgColor rgb="FFE2EFDA"/>
        <bgColor rgb="FFDCE6F1"/>
      </patternFill>
    </fill>
    <fill>
      <patternFill patternType="solid">
        <fgColor rgb="FFC00000"/>
        <bgColor rgb="FF800000"/>
      </patternFill>
    </fill>
    <fill>
      <patternFill patternType="solid">
        <fgColor rgb="FFFCE4D6"/>
        <bgColor rgb="FFFFF2CC"/>
      </patternFill>
    </fill>
    <fill>
      <patternFill patternType="solid">
        <fgColor rgb="FF7030A0"/>
        <bgColor rgb="FF993366"/>
      </patternFill>
    </fill>
    <fill>
      <patternFill patternType="solid">
        <fgColor rgb="FFFFF2CC"/>
        <bgColor rgb="FFFCE4D6"/>
      </patternFill>
    </fill>
    <fill>
      <patternFill patternType="solid">
        <fgColor rgb="FFC55A11"/>
        <bgColor rgb="FF993300"/>
      </patternFill>
    </fill>
    <fill>
      <patternFill patternType="solid">
        <fgColor rgb="FF2E75B6"/>
        <bgColor rgb="FF0066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3" borderId="0" xfId="0" applyFont="true" applyBorder="true" applyAlignment="true" applyProtection="false">
      <alignment horizontal="general" vertical="center" textRotation="0" wrapText="true" indent="0" shrinkToFit="false"/>
      <protection locked="true" hidden="false"/>
    </xf>
    <xf numFmtId="164" fontId="6" fillId="4" borderId="0" xfId="0" applyFont="true" applyBorder="true" applyAlignment="true" applyProtection="false">
      <alignment horizontal="general" vertical="center"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6" fontId="5" fillId="0" borderId="1" xfId="0" applyFont="true" applyBorder="true" applyAlignment="true" applyProtection="false">
      <alignment horizontal="center" vertical="top"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5" fillId="2" borderId="0" xfId="0" applyFont="true" applyBorder="false" applyAlignment="true" applyProtection="false">
      <alignment horizontal="left" vertical="top" textRotation="0" wrapText="false" indent="0" shrinkToFit="false"/>
      <protection locked="true" hidden="false"/>
    </xf>
    <xf numFmtId="164" fontId="5" fillId="3" borderId="0" xfId="0" applyFont="true" applyBorder="true" applyAlignment="true" applyProtection="false">
      <alignment horizontal="left" vertical="top" textRotation="0" wrapText="true" indent="0" shrinkToFit="false"/>
      <protection locked="true" hidden="false"/>
    </xf>
    <xf numFmtId="164" fontId="6" fillId="4" borderId="0" xfId="0" applyFont="true" applyBorder="false" applyAlignment="true" applyProtection="false">
      <alignment horizontal="left" vertical="center" textRotation="0" wrapText="false" indent="0" shrinkToFit="false"/>
      <protection locked="true" hidden="false"/>
    </xf>
    <xf numFmtId="164" fontId="5" fillId="4" borderId="0" xfId="0" applyFont="true" applyBorder="false" applyAlignment="true" applyProtection="false">
      <alignment horizontal="left" vertical="top" textRotation="0" wrapText="fals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7"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6" borderId="0" xfId="0" applyFont="true" applyBorder="true" applyAlignment="true" applyProtection="false">
      <alignment horizontal="left" vertical="top" textRotation="0" wrapText="true" indent="0" shrinkToFit="false"/>
      <protection locked="true" hidden="false"/>
    </xf>
    <xf numFmtId="168" fontId="7" fillId="0" borderId="1" xfId="0" applyFont="true" applyBorder="true" applyAlignment="true" applyProtection="false">
      <alignment horizontal="center" vertical="top" textRotation="0" wrapText="false" indent="0" shrinkToFit="false"/>
      <protection locked="true" hidden="false"/>
    </xf>
    <xf numFmtId="164" fontId="7" fillId="7" borderId="0" xfId="0" applyFont="true" applyBorder="true" applyAlignment="true" applyProtection="false">
      <alignment horizontal="left" vertical="top" textRotation="0" wrapText="true" indent="0" shrinkToFit="false"/>
      <protection locked="true" hidden="false"/>
    </xf>
    <xf numFmtId="169"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70" fontId="8" fillId="6"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9" fontId="8" fillId="7" borderId="1" xfId="0" applyFont="true" applyBorder="true" applyAlignment="true" applyProtection="false">
      <alignment horizontal="center" vertical="top" textRotation="0" wrapText="false" indent="0" shrinkToFit="false"/>
      <protection locked="true" hidden="false"/>
    </xf>
    <xf numFmtId="169"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6" fillId="8" borderId="0" xfId="0" applyFont="true" applyBorder="false" applyAlignment="true" applyProtection="false">
      <alignment horizontal="left" vertical="center" textRotation="0" wrapText="false" indent="0" shrinkToFit="false"/>
      <protection locked="true" hidden="false"/>
    </xf>
    <xf numFmtId="164" fontId="5" fillId="8" borderId="0" xfId="0" applyFont="true" applyBorder="false" applyAlignment="true" applyProtection="false">
      <alignment horizontal="left" vertical="top" textRotation="0" wrapText="fals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6" fillId="10" borderId="0" xfId="0" applyFont="true" applyBorder="false" applyAlignment="true" applyProtection="false">
      <alignment horizontal="left" vertical="center" textRotation="0" wrapText="false" indent="0" shrinkToFit="false"/>
      <protection locked="true" hidden="false"/>
    </xf>
    <xf numFmtId="164" fontId="5" fillId="10" borderId="0" xfId="0" applyFont="true" applyBorder="false" applyAlignment="true" applyProtection="false">
      <alignment horizontal="left" vertical="top" textRotation="0" wrapText="false" indent="0" shrinkToFit="false"/>
      <protection locked="true" hidden="false"/>
    </xf>
    <xf numFmtId="164" fontId="11" fillId="2" borderId="0" xfId="0" applyFont="true" applyBorder="fals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left" vertical="top" textRotation="0" wrapText="false" indent="0" shrinkToFit="false"/>
      <protection locked="true" hidden="false"/>
    </xf>
    <xf numFmtId="164" fontId="5" fillId="5" borderId="1" xfId="0" applyFont="true" applyBorder="true" applyAlignment="true" applyProtection="false">
      <alignment horizontal="left" vertical="top" textRotation="0" wrapText="false" indent="0" shrinkToFit="false"/>
      <protection locked="true" hidden="false"/>
    </xf>
    <xf numFmtId="171" fontId="7" fillId="5" borderId="1" xfId="0" applyFont="true" applyBorder="true" applyAlignment="true" applyProtection="false">
      <alignment horizontal="center" vertical="top" textRotation="0" wrapText="false" indent="0" shrinkToFit="false"/>
      <protection locked="true" hidden="false"/>
    </xf>
    <xf numFmtId="164" fontId="9" fillId="3" borderId="0"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8" fillId="7" borderId="1" xfId="0" applyFont="true" applyBorder="true" applyAlignment="true" applyProtection="false">
      <alignment horizontal="left" vertical="top" textRotation="0" wrapText="false" indent="0" shrinkToFit="false"/>
      <protection locked="true" hidden="false"/>
    </xf>
    <xf numFmtId="164" fontId="5" fillId="7" borderId="1" xfId="0" applyFont="true" applyBorder="true" applyAlignment="true" applyProtection="false">
      <alignment horizontal="left" vertical="top" textRotation="0" wrapText="false" indent="0" shrinkToFit="false"/>
      <protection locked="true" hidden="false"/>
    </xf>
    <xf numFmtId="171" fontId="8" fillId="7" borderId="1" xfId="0" applyFont="true" applyBorder="true" applyAlignment="true" applyProtection="false">
      <alignment horizontal="center" vertical="top" textRotation="0" wrapText="false" indent="0" shrinkToFit="false"/>
      <protection locked="true" hidden="false"/>
    </xf>
    <xf numFmtId="164" fontId="7" fillId="11" borderId="1" xfId="0" applyFont="true" applyBorder="true" applyAlignment="true" applyProtection="false">
      <alignment horizontal="left" vertical="top" textRotation="0" wrapText="false" indent="0" shrinkToFit="false"/>
      <protection locked="true" hidden="false"/>
    </xf>
    <xf numFmtId="164" fontId="5" fillId="11" borderId="1" xfId="0" applyFont="true" applyBorder="true" applyAlignment="true" applyProtection="false">
      <alignment horizontal="left" vertical="top" textRotation="0" wrapText="false" indent="0" shrinkToFit="false"/>
      <protection locked="true" hidden="false"/>
    </xf>
    <xf numFmtId="164" fontId="7" fillId="11" borderId="1" xfId="0" applyFont="true" applyBorder="true" applyAlignment="true" applyProtection="false">
      <alignment horizontal="center" vertical="top" textRotation="0" wrapText="fals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4" fontId="6" fillId="12" borderId="0" xfId="0" applyFont="true" applyBorder="false" applyAlignment="true" applyProtection="false">
      <alignment horizontal="left" vertical="center" textRotation="0" wrapText="false" indent="0" shrinkToFit="false"/>
      <protection locked="true" hidden="false"/>
    </xf>
    <xf numFmtId="164" fontId="5" fillId="12" borderId="0" xfId="0" applyFont="true" applyBorder="false" applyAlignment="true" applyProtection="false">
      <alignment horizontal="left" vertical="top" textRotation="0" wrapText="false" indent="0" shrinkToFit="false"/>
      <protection locked="true" hidden="false"/>
    </xf>
    <xf numFmtId="164" fontId="7" fillId="7" borderId="1" xfId="0" applyFont="true" applyBorder="true" applyAlignment="true" applyProtection="false">
      <alignment horizontal="left" vertical="top"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6" fillId="13" borderId="0" xfId="0" applyFont="true" applyBorder="false" applyAlignment="true" applyProtection="false">
      <alignment horizontal="left" vertical="center" textRotation="0" wrapText="false" indent="0" shrinkToFit="false"/>
      <protection locked="true" hidden="false"/>
    </xf>
    <xf numFmtId="164" fontId="5" fillId="13" borderId="0" xfId="0" applyFont="true" applyBorder="false" applyAlignment="true" applyProtection="false">
      <alignment horizontal="left" vertical="top" textRotation="0" wrapText="false" indent="0" shrinkToFit="false"/>
      <protection locked="true" hidden="false"/>
    </xf>
    <xf numFmtId="164" fontId="5" fillId="11" borderId="0"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left" vertical="center" textRotation="0" wrapText="fals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5" fillId="7"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left" vertical="center" textRotation="0" wrapText="fals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12" fillId="3"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146C6C"/>
      <rgbColor rgb="FFBFBFBF"/>
      <rgbColor rgb="FF808080"/>
      <rgbColor rgb="FF9999FF"/>
      <rgbColor rgb="FF7030A0"/>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CE4D6"/>
      <rgbColor rgb="FF99CCFF"/>
      <rgbColor rgb="FFFF99CC"/>
      <rgbColor rgb="FFCC99FF"/>
      <rgbColor rgb="FFF8CBAD"/>
      <rgbColor rgb="FF2E75B6"/>
      <rgbColor rgb="FF33CCCC"/>
      <rgbColor rgb="FF99CC00"/>
      <rgbColor rgb="FFFFCC00"/>
      <rgbColor rgb="FFFF9900"/>
      <rgbColor rgb="FFC55A11"/>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3" min="2" style="1" width="14"/>
    <col collapsed="false" customWidth="true" hidden="false" outlineLevel="0" max="4" min="4" style="1" width="12"/>
    <col collapsed="false" customWidth="true" hidden="false" outlineLevel="0" max="5" min="5" style="1" width="70"/>
  </cols>
  <sheetData>
    <row r="1" customFormat="false" ht="25.5" hidden="false" customHeight="true" outlineLevel="0" collapsed="false">
      <c r="A1" s="2" t="s">
        <v>0</v>
      </c>
      <c r="B1" s="2"/>
      <c r="C1" s="2"/>
      <c r="D1" s="2"/>
      <c r="E1" s="2"/>
    </row>
    <row r="2" customFormat="false" ht="43.5" hidden="false" customHeight="true" outlineLevel="0" collapsed="false">
      <c r="A2" s="3" t="s">
        <v>1</v>
      </c>
      <c r="B2" s="3"/>
      <c r="C2" s="3"/>
      <c r="D2" s="3"/>
      <c r="E2" s="3"/>
    </row>
    <row r="4" customFormat="false" ht="19.5" hidden="false" customHeight="true" outlineLevel="0" collapsed="false">
      <c r="A4" s="4" t="s">
        <v>2</v>
      </c>
      <c r="B4" s="4"/>
      <c r="C4" s="4"/>
      <c r="D4" s="4"/>
      <c r="E4" s="4"/>
    </row>
    <row r="5" customFormat="false" ht="15" hidden="false" customHeight="true" outlineLevel="0" collapsed="false">
      <c r="A5" s="5" t="s">
        <v>3</v>
      </c>
      <c r="B5" s="5" t="s">
        <v>4</v>
      </c>
      <c r="C5" s="5" t="s">
        <v>5</v>
      </c>
      <c r="D5" s="5" t="s">
        <v>6</v>
      </c>
      <c r="E5" s="5" t="s">
        <v>7</v>
      </c>
    </row>
    <row r="6" customFormat="false" ht="30" hidden="false" customHeight="true" outlineLevel="0" collapsed="false">
      <c r="A6" s="6" t="s">
        <v>8</v>
      </c>
      <c r="B6" s="7" t="n">
        <v>19</v>
      </c>
      <c r="C6" s="7" t="n">
        <v>19</v>
      </c>
      <c r="D6" s="8" t="n">
        <f aca="false">C6-B6</f>
        <v>0</v>
      </c>
      <c r="E6" s="9" t="s">
        <v>9</v>
      </c>
    </row>
    <row r="7" customFormat="false" ht="30" hidden="false" customHeight="true" outlineLevel="0" collapsed="false">
      <c r="A7" s="6" t="s">
        <v>10</v>
      </c>
      <c r="B7" s="7" t="n">
        <v>10</v>
      </c>
      <c r="C7" s="7" t="n">
        <v>10</v>
      </c>
      <c r="D7" s="8" t="n">
        <f aca="false">C7-B7</f>
        <v>0</v>
      </c>
      <c r="E7" s="9" t="s">
        <v>11</v>
      </c>
    </row>
    <row r="8" customFormat="false" ht="30" hidden="false" customHeight="true" outlineLevel="0" collapsed="false">
      <c r="A8" s="6" t="s">
        <v>12</v>
      </c>
      <c r="B8" s="7" t="n">
        <v>3</v>
      </c>
      <c r="C8" s="7" t="n">
        <v>6</v>
      </c>
      <c r="D8" s="8" t="n">
        <f aca="false">C8-B8</f>
        <v>3</v>
      </c>
      <c r="E8" s="9" t="s">
        <v>13</v>
      </c>
    </row>
    <row r="9" customFormat="false" ht="30" hidden="false" customHeight="true" outlineLevel="0" collapsed="false">
      <c r="A9" s="6" t="s">
        <v>14</v>
      </c>
      <c r="B9" s="7" t="n">
        <v>3</v>
      </c>
      <c r="C9" s="7" t="n">
        <v>5</v>
      </c>
      <c r="D9" s="8" t="n">
        <f aca="false">C9-B9</f>
        <v>2</v>
      </c>
      <c r="E9" s="9" t="s">
        <v>15</v>
      </c>
    </row>
    <row r="10" customFormat="false" ht="30" hidden="false" customHeight="true" outlineLevel="0" collapsed="false">
      <c r="A10" s="6" t="s">
        <v>16</v>
      </c>
      <c r="B10" s="7" t="n">
        <v>3</v>
      </c>
      <c r="C10" s="7" t="n">
        <v>8</v>
      </c>
      <c r="D10" s="8" t="n">
        <f aca="false">C10-B10</f>
        <v>5</v>
      </c>
      <c r="E10" s="9" t="s">
        <v>17</v>
      </c>
    </row>
    <row r="11" customFormat="false" ht="30" hidden="false" customHeight="true" outlineLevel="0" collapsed="false">
      <c r="A11" s="6" t="s">
        <v>18</v>
      </c>
      <c r="B11" s="7" t="n">
        <v>4</v>
      </c>
      <c r="C11" s="7" t="n">
        <v>6</v>
      </c>
      <c r="D11" s="8" t="n">
        <f aca="false">C11-B11</f>
        <v>2</v>
      </c>
      <c r="E11" s="9" t="s">
        <v>19</v>
      </c>
    </row>
    <row r="12" customFormat="false" ht="30" hidden="false" customHeight="true" outlineLevel="0" collapsed="false">
      <c r="A12" s="6" t="s">
        <v>20</v>
      </c>
      <c r="B12" s="7" t="n">
        <v>13</v>
      </c>
      <c r="C12" s="7" t="n">
        <v>13</v>
      </c>
      <c r="D12" s="8" t="n">
        <f aca="false">C12-B12</f>
        <v>0</v>
      </c>
      <c r="E12" s="9" t="s">
        <v>21</v>
      </c>
    </row>
    <row r="13" customFormat="false" ht="30" hidden="false" customHeight="true" outlineLevel="0" collapsed="false">
      <c r="A13" s="6" t="s">
        <v>22</v>
      </c>
      <c r="B13" s="7" t="n">
        <v>13</v>
      </c>
      <c r="C13" s="7" t="n">
        <v>16</v>
      </c>
      <c r="D13" s="8" t="n">
        <f aca="false">C13-B13</f>
        <v>3</v>
      </c>
      <c r="E13" s="9" t="s">
        <v>23</v>
      </c>
    </row>
    <row r="15" customFormat="false" ht="19.5" hidden="false" customHeight="true" outlineLevel="0" collapsed="false">
      <c r="A15" s="4" t="s">
        <v>24</v>
      </c>
      <c r="B15" s="4"/>
      <c r="C15" s="4"/>
      <c r="D15" s="4"/>
      <c r="E15" s="4"/>
    </row>
    <row r="16" customFormat="false" ht="15" hidden="false" customHeight="true" outlineLevel="0" collapsed="false">
      <c r="A16" s="5" t="s">
        <v>6</v>
      </c>
      <c r="B16" s="5" t="s">
        <v>25</v>
      </c>
      <c r="C16" s="5"/>
      <c r="D16" s="5"/>
      <c r="E16" s="5" t="s">
        <v>26</v>
      </c>
    </row>
    <row r="17" customFormat="false" ht="33.75" hidden="false" customHeight="true" outlineLevel="0" collapsed="false">
      <c r="A17" s="6" t="s">
        <v>27</v>
      </c>
      <c r="B17" s="7" t="s">
        <v>28</v>
      </c>
      <c r="E17" s="9" t="s">
        <v>29</v>
      </c>
    </row>
    <row r="18" customFormat="false" ht="33.75" hidden="false" customHeight="true" outlineLevel="0" collapsed="false">
      <c r="A18" s="6" t="s">
        <v>30</v>
      </c>
      <c r="B18" s="7" t="s">
        <v>31</v>
      </c>
      <c r="E18" s="9" t="s">
        <v>32</v>
      </c>
    </row>
    <row r="19" customFormat="false" ht="33.75" hidden="false" customHeight="true" outlineLevel="0" collapsed="false">
      <c r="A19" s="6" t="s">
        <v>33</v>
      </c>
      <c r="B19" s="7" t="s">
        <v>34</v>
      </c>
      <c r="E19" s="9" t="s">
        <v>35</v>
      </c>
    </row>
    <row r="20" customFormat="false" ht="33.75" hidden="false" customHeight="true" outlineLevel="0" collapsed="false">
      <c r="A20" s="6" t="s">
        <v>36</v>
      </c>
      <c r="B20" s="7" t="s">
        <v>37</v>
      </c>
      <c r="E20" s="9" t="s">
        <v>38</v>
      </c>
    </row>
    <row r="21" customFormat="false" ht="33.75" hidden="false" customHeight="true" outlineLevel="0" collapsed="false">
      <c r="A21" s="6" t="s">
        <v>39</v>
      </c>
      <c r="B21" s="7" t="s">
        <v>40</v>
      </c>
      <c r="E21" s="9" t="s">
        <v>41</v>
      </c>
    </row>
    <row r="22" customFormat="false" ht="33.75" hidden="false" customHeight="true" outlineLevel="0" collapsed="false">
      <c r="A22" s="6" t="s">
        <v>42</v>
      </c>
      <c r="B22" s="7" t="s">
        <v>43</v>
      </c>
      <c r="E22" s="9" t="s">
        <v>44</v>
      </c>
    </row>
    <row r="23" customFormat="false" ht="33.75" hidden="false" customHeight="true" outlineLevel="0" collapsed="false">
      <c r="A23" s="6" t="s">
        <v>45</v>
      </c>
      <c r="B23" s="7" t="s">
        <v>46</v>
      </c>
      <c r="E23" s="9" t="s">
        <v>47</v>
      </c>
    </row>
    <row r="24" customFormat="false" ht="33.75" hidden="false" customHeight="true" outlineLevel="0" collapsed="false">
      <c r="A24" s="6" t="s">
        <v>48</v>
      </c>
      <c r="B24" s="7" t="s">
        <v>43</v>
      </c>
      <c r="E24" s="9" t="s">
        <v>49</v>
      </c>
    </row>
    <row r="25" customFormat="false" ht="33.75" hidden="false" customHeight="true" outlineLevel="0" collapsed="false">
      <c r="A25" s="6" t="s">
        <v>50</v>
      </c>
      <c r="B25" s="7" t="s">
        <v>51</v>
      </c>
      <c r="E25" s="9" t="s">
        <v>52</v>
      </c>
    </row>
    <row r="26" customFormat="false" ht="33.75" hidden="false" customHeight="true" outlineLevel="0" collapsed="false">
      <c r="A26" s="6" t="s">
        <v>53</v>
      </c>
      <c r="B26" s="7" t="s">
        <v>51</v>
      </c>
      <c r="E26" s="9" t="s">
        <v>54</v>
      </c>
    </row>
    <row r="27" customFormat="false" ht="33.75" hidden="false" customHeight="true" outlineLevel="0" collapsed="false">
      <c r="A27" s="6" t="s">
        <v>55</v>
      </c>
      <c r="B27" s="7" t="s">
        <v>51</v>
      </c>
      <c r="E27" s="9" t="s">
        <v>56</v>
      </c>
    </row>
    <row r="28" customFormat="false" ht="33.75" hidden="false" customHeight="true" outlineLevel="0" collapsed="false">
      <c r="A28" s="6" t="s">
        <v>57</v>
      </c>
      <c r="B28" s="7" t="s">
        <v>28</v>
      </c>
      <c r="E28" s="9" t="s">
        <v>58</v>
      </c>
    </row>
    <row r="29" customFormat="false" ht="33.75" hidden="false" customHeight="true" outlineLevel="0" collapsed="false">
      <c r="A29" s="6" t="s">
        <v>59</v>
      </c>
      <c r="B29" s="7" t="s">
        <v>34</v>
      </c>
      <c r="E29" s="9" t="s">
        <v>60</v>
      </c>
    </row>
    <row r="31" customFormat="false" ht="19.5" hidden="false" customHeight="true" outlineLevel="0" collapsed="false">
      <c r="A31" s="4" t="s">
        <v>61</v>
      </c>
      <c r="B31" s="4"/>
      <c r="C31" s="4"/>
      <c r="D31" s="4"/>
      <c r="E31" s="4"/>
    </row>
    <row r="32" customFormat="false" ht="15" hidden="false" customHeight="true" outlineLevel="0" collapsed="false">
      <c r="A32" s="5" t="s">
        <v>62</v>
      </c>
      <c r="B32" s="5" t="s">
        <v>63</v>
      </c>
      <c r="C32" s="5" t="s">
        <v>64</v>
      </c>
      <c r="D32" s="5" t="s">
        <v>6</v>
      </c>
      <c r="E32" s="5" t="s">
        <v>65</v>
      </c>
    </row>
    <row r="33" customFormat="false" ht="24" hidden="false" customHeight="true" outlineLevel="0" collapsed="false">
      <c r="A33" s="6" t="s">
        <v>66</v>
      </c>
      <c r="B33" s="7" t="n">
        <v>87.4</v>
      </c>
      <c r="C33" s="7" t="n">
        <v>86.9</v>
      </c>
      <c r="D33" s="10" t="n">
        <f aca="false">C33-B33</f>
        <v>-0.5</v>
      </c>
      <c r="E33" s="9" t="s">
        <v>67</v>
      </c>
    </row>
    <row r="34" customFormat="false" ht="24" hidden="false" customHeight="true" outlineLevel="0" collapsed="false">
      <c r="A34" s="6" t="s">
        <v>68</v>
      </c>
      <c r="B34" s="7" t="n">
        <v>16.7</v>
      </c>
      <c r="C34" s="7" t="n">
        <v>15</v>
      </c>
      <c r="D34" s="10" t="n">
        <f aca="false">C34-B34</f>
        <v>-1.7</v>
      </c>
      <c r="E34" s="9" t="s">
        <v>69</v>
      </c>
    </row>
    <row r="35" customFormat="false" ht="24" hidden="false" customHeight="true" outlineLevel="0" collapsed="false">
      <c r="A35" s="6" t="s">
        <v>70</v>
      </c>
      <c r="B35" s="7" t="n">
        <v>14.6</v>
      </c>
      <c r="C35" s="7" t="n">
        <v>13</v>
      </c>
      <c r="D35" s="10" t="n">
        <f aca="false">C35-B35</f>
        <v>-1.6</v>
      </c>
      <c r="E35" s="9" t="s">
        <v>71</v>
      </c>
    </row>
    <row r="36" customFormat="false" ht="24" hidden="false" customHeight="true" outlineLevel="0" collapsed="false">
      <c r="A36" s="6" t="s">
        <v>72</v>
      </c>
      <c r="B36" s="7" t="n">
        <v>72.8</v>
      </c>
      <c r="C36" s="7" t="n">
        <v>73.9</v>
      </c>
      <c r="D36" s="10" t="n">
        <f aca="false">C36-B36</f>
        <v>1.10000000000001</v>
      </c>
      <c r="E36" s="9" t="s">
        <v>73</v>
      </c>
    </row>
    <row r="37" customFormat="false" ht="24" hidden="false" customHeight="true" outlineLevel="0" collapsed="false">
      <c r="A37" s="6" t="s">
        <v>74</v>
      </c>
      <c r="B37" s="7" t="n">
        <v>85.2</v>
      </c>
      <c r="C37" s="7" t="n">
        <v>82.9</v>
      </c>
      <c r="D37" s="10" t="n">
        <f aca="false">C37-B37</f>
        <v>-2.3</v>
      </c>
      <c r="E37" s="9" t="s">
        <v>75</v>
      </c>
    </row>
    <row r="38" customFormat="false" ht="24" hidden="false" customHeight="true" outlineLevel="0" collapsed="false">
      <c r="A38" s="6" t="s">
        <v>76</v>
      </c>
      <c r="B38" s="7" t="n">
        <v>4.53</v>
      </c>
      <c r="C38" s="7" t="n">
        <v>4.39</v>
      </c>
      <c r="D38" s="10" t="n">
        <f aca="false">C38-B38</f>
        <v>-0.140000000000001</v>
      </c>
      <c r="E38" s="9" t="s">
        <v>77</v>
      </c>
    </row>
    <row r="39" customFormat="false" ht="24" hidden="false" customHeight="true" outlineLevel="0" collapsed="false">
      <c r="A39" s="6" t="s">
        <v>78</v>
      </c>
      <c r="B39" s="7" t="n">
        <v>4.45</v>
      </c>
      <c r="C39" s="7" t="n">
        <v>4.44</v>
      </c>
      <c r="D39" s="10" t="n">
        <f aca="false">C39-B39</f>
        <v>-0.00999999999999979</v>
      </c>
      <c r="E39" s="9" t="s">
        <v>79</v>
      </c>
    </row>
    <row r="40" customFormat="false" ht="24" hidden="false" customHeight="true" outlineLevel="0" collapsed="false">
      <c r="A40" s="6" t="s">
        <v>80</v>
      </c>
      <c r="B40" s="7" t="n">
        <v>32.34</v>
      </c>
      <c r="C40" s="7" t="n">
        <v>32.19</v>
      </c>
      <c r="D40" s="10" t="n">
        <f aca="false">C40-B40</f>
        <v>-0.150000000000006</v>
      </c>
      <c r="E40" s="9" t="s">
        <v>79</v>
      </c>
    </row>
    <row r="41" customFormat="false" ht="24" hidden="false" customHeight="true" outlineLevel="0" collapsed="false">
      <c r="A41" s="6" t="s">
        <v>81</v>
      </c>
      <c r="B41" s="7" t="n">
        <v>9.74</v>
      </c>
      <c r="C41" s="7" t="n">
        <v>10.39</v>
      </c>
      <c r="D41" s="10" t="n">
        <f aca="false">C41-B41</f>
        <v>0.65</v>
      </c>
      <c r="E41" s="9" t="s">
        <v>82</v>
      </c>
    </row>
    <row r="42" customFormat="false" ht="24" hidden="false" customHeight="true" outlineLevel="0" collapsed="false">
      <c r="A42" s="6" t="s">
        <v>83</v>
      </c>
      <c r="B42" s="7" t="n">
        <v>9.84</v>
      </c>
      <c r="C42" s="7" t="n">
        <v>10.4</v>
      </c>
      <c r="D42" s="10" t="n">
        <f aca="false">C42-B42</f>
        <v>0.560000000000001</v>
      </c>
      <c r="E42" s="9" t="s">
        <v>84</v>
      </c>
    </row>
    <row r="44" customFormat="false" ht="39.75" hidden="false" customHeight="true" outlineLevel="0" collapsed="false">
      <c r="A44" s="3" t="s">
        <v>85</v>
      </c>
      <c r="B44" s="3"/>
      <c r="C44" s="3"/>
      <c r="D44" s="3"/>
      <c r="E44" s="3"/>
    </row>
  </sheetData>
  <mergeCells count="6">
    <mergeCell ref="A1:E1"/>
    <mergeCell ref="A2:E2"/>
    <mergeCell ref="A4:E4"/>
    <mergeCell ref="A15:E15"/>
    <mergeCell ref="A31:E31"/>
    <mergeCell ref="A44:E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20"/>
    <col collapsed="false" customWidth="true" hidden="false" outlineLevel="0" max="5" min="5" style="1" width="22"/>
  </cols>
  <sheetData>
    <row r="1" customFormat="false" ht="24" hidden="false" customHeight="true" outlineLevel="0" collapsed="false">
      <c r="A1" s="11" t="s">
        <v>86</v>
      </c>
      <c r="B1" s="12"/>
      <c r="C1" s="12"/>
      <c r="D1" s="12"/>
      <c r="E1" s="12"/>
    </row>
    <row r="2" customFormat="false" ht="30" hidden="false" customHeight="true" outlineLevel="0" collapsed="false">
      <c r="A2" s="13" t="s">
        <v>87</v>
      </c>
      <c r="B2" s="13"/>
      <c r="C2" s="13"/>
      <c r="D2" s="13"/>
      <c r="E2" s="13"/>
    </row>
    <row r="4" customFormat="false" ht="19.5" hidden="false" customHeight="true" outlineLevel="0" collapsed="false">
      <c r="A4" s="14" t="s">
        <v>88</v>
      </c>
      <c r="B4" s="15"/>
      <c r="C4" s="15"/>
      <c r="D4" s="15"/>
      <c r="E4" s="15"/>
    </row>
    <row r="5" customFormat="false" ht="18" hidden="false" customHeight="true" outlineLevel="0" collapsed="false">
      <c r="A5" s="5" t="s">
        <v>62</v>
      </c>
      <c r="B5" s="5" t="s">
        <v>89</v>
      </c>
      <c r="C5" s="5" t="s">
        <v>90</v>
      </c>
      <c r="D5" s="5" t="s">
        <v>6</v>
      </c>
      <c r="E5" s="5" t="s">
        <v>65</v>
      </c>
    </row>
    <row r="6" customFormat="false" ht="27.75" hidden="false" customHeight="true" outlineLevel="0" collapsed="false">
      <c r="A6" s="16" t="s">
        <v>66</v>
      </c>
      <c r="B6" s="7" t="n">
        <v>89.4</v>
      </c>
      <c r="C6" s="7" t="n">
        <v>87.4</v>
      </c>
      <c r="D6" s="17" t="n">
        <f aca="false">C6-B6</f>
        <v>-2</v>
      </c>
      <c r="E6" s="9" t="s">
        <v>91</v>
      </c>
    </row>
    <row r="7" customFormat="false" ht="27.75" hidden="false" customHeight="true" outlineLevel="0" collapsed="false">
      <c r="A7" s="16" t="s">
        <v>68</v>
      </c>
      <c r="B7" s="7" t="n">
        <v>17.8</v>
      </c>
      <c r="C7" s="7" t="n">
        <v>16.7</v>
      </c>
      <c r="D7" s="17" t="n">
        <f aca="false">C7-B7</f>
        <v>-1.1</v>
      </c>
      <c r="E7" s="9" t="s">
        <v>92</v>
      </c>
    </row>
    <row r="8" customFormat="false" ht="27.75" hidden="false" customHeight="true" outlineLevel="0" collapsed="false">
      <c r="A8" s="16" t="s">
        <v>70</v>
      </c>
      <c r="B8" s="7" t="n">
        <v>15.9</v>
      </c>
      <c r="C8" s="7" t="n">
        <v>14.6</v>
      </c>
      <c r="D8" s="17" t="n">
        <f aca="false">C8-B8</f>
        <v>-1.3</v>
      </c>
      <c r="E8" s="9" t="s">
        <v>93</v>
      </c>
    </row>
    <row r="9" customFormat="false" ht="45.75" hidden="false" customHeight="true" outlineLevel="0" collapsed="false">
      <c r="A9" s="16" t="s">
        <v>72</v>
      </c>
      <c r="B9" s="7" t="n">
        <v>73.5</v>
      </c>
      <c r="C9" s="7" t="n">
        <v>72.8</v>
      </c>
      <c r="D9" s="17" t="n">
        <f aca="false">C9-B9</f>
        <v>-0.700000000000003</v>
      </c>
      <c r="E9" s="9" t="s">
        <v>94</v>
      </c>
    </row>
    <row r="10" customFormat="false" ht="27.75" hidden="false" customHeight="true" outlineLevel="0" collapsed="false">
      <c r="A10" s="16" t="s">
        <v>95</v>
      </c>
      <c r="B10" s="7" t="s">
        <v>96</v>
      </c>
      <c r="C10" s="7" t="n">
        <v>40.6</v>
      </c>
      <c r="D10" s="18" t="s">
        <v>31</v>
      </c>
      <c r="E10" s="9" t="s">
        <v>97</v>
      </c>
    </row>
    <row r="11" customFormat="false" ht="27.75" hidden="false" customHeight="true" outlineLevel="0" collapsed="false">
      <c r="A11" s="16" t="s">
        <v>98</v>
      </c>
      <c r="B11" s="7" t="n">
        <v>1957</v>
      </c>
      <c r="C11" s="7" t="n">
        <v>1942</v>
      </c>
      <c r="D11" s="17" t="n">
        <f aca="false">C11-B11</f>
        <v>-15</v>
      </c>
      <c r="E11" s="9" t="s">
        <v>99</v>
      </c>
    </row>
    <row r="12" customFormat="false" ht="33.75" hidden="false" customHeight="true" outlineLevel="0" collapsed="false">
      <c r="A12" s="16" t="s">
        <v>100</v>
      </c>
      <c r="B12" s="7" t="n">
        <v>3013</v>
      </c>
      <c r="C12" s="7" t="n">
        <v>2990</v>
      </c>
      <c r="D12" s="17" t="n">
        <f aca="false">C12-B12</f>
        <v>-23</v>
      </c>
      <c r="E12" s="9" t="s">
        <v>101</v>
      </c>
    </row>
    <row r="13" customFormat="false" ht="27.75" hidden="false" customHeight="true" outlineLevel="0" collapsed="false">
      <c r="A13" s="16" t="s">
        <v>102</v>
      </c>
      <c r="B13" s="7" t="s">
        <v>96</v>
      </c>
      <c r="C13" s="7" t="n">
        <v>76</v>
      </c>
      <c r="D13" s="18" t="s">
        <v>31</v>
      </c>
      <c r="E13" s="9" t="s">
        <v>103</v>
      </c>
    </row>
    <row r="14" customFormat="false" ht="27.75" hidden="false" customHeight="true" outlineLevel="0" collapsed="false">
      <c r="A14" s="16" t="s">
        <v>74</v>
      </c>
      <c r="B14" s="7" t="s">
        <v>96</v>
      </c>
      <c r="C14" s="7" t="n">
        <v>85.2</v>
      </c>
      <c r="D14" s="18" t="s">
        <v>31</v>
      </c>
      <c r="E14" s="9" t="s">
        <v>104</v>
      </c>
    </row>
    <row r="15" customFormat="false" ht="27.75" hidden="false" customHeight="true" outlineLevel="0" collapsed="false">
      <c r="A15" s="16" t="s">
        <v>105</v>
      </c>
      <c r="B15" s="7" t="s">
        <v>96</v>
      </c>
      <c r="C15" s="7" t="n">
        <v>33</v>
      </c>
      <c r="D15" s="18" t="s">
        <v>31</v>
      </c>
      <c r="E15" s="9" t="s">
        <v>106</v>
      </c>
    </row>
    <row r="17" customFormat="false" ht="51.75" hidden="false" customHeight="true" outlineLevel="0" collapsed="false">
      <c r="A17" s="19" t="s">
        <v>107</v>
      </c>
      <c r="B17" s="19"/>
      <c r="C17" s="19"/>
      <c r="D17" s="19"/>
      <c r="E17" s="19"/>
    </row>
    <row r="19" customFormat="false" ht="19.5" hidden="false" customHeight="true" outlineLevel="0" collapsed="false">
      <c r="A19" s="14" t="s">
        <v>108</v>
      </c>
      <c r="B19" s="15"/>
      <c r="C19" s="15"/>
      <c r="D19" s="15"/>
      <c r="E19" s="15"/>
    </row>
    <row r="20" customFormat="false" ht="18" hidden="false" customHeight="true" outlineLevel="0" collapsed="false">
      <c r="A20" s="5" t="s">
        <v>109</v>
      </c>
      <c r="B20" s="5" t="s">
        <v>110</v>
      </c>
      <c r="C20" s="5" t="s">
        <v>111</v>
      </c>
      <c r="D20" s="5" t="s">
        <v>112</v>
      </c>
      <c r="E20" s="5" t="s">
        <v>113</v>
      </c>
    </row>
    <row r="21" customFormat="false" ht="30" hidden="false" customHeight="true" outlineLevel="0" collapsed="false">
      <c r="A21" s="16" t="s">
        <v>114</v>
      </c>
      <c r="B21" s="7" t="n">
        <v>4.53</v>
      </c>
      <c r="C21" s="7" t="n">
        <v>4.45</v>
      </c>
      <c r="D21" s="20" t="n">
        <f aca="false">B21-C21</f>
        <v>0.0800000000000001</v>
      </c>
      <c r="E21" s="9" t="s">
        <v>115</v>
      </c>
    </row>
    <row r="22" customFormat="false" ht="30" hidden="false" customHeight="true" outlineLevel="0" collapsed="false">
      <c r="A22" s="16" t="s">
        <v>116</v>
      </c>
      <c r="B22" s="7" t="n">
        <v>9.74</v>
      </c>
      <c r="C22" s="7" t="n">
        <v>9.84</v>
      </c>
      <c r="D22" s="20" t="n">
        <f aca="false">B22-C22</f>
        <v>-0.0999999999999996</v>
      </c>
      <c r="E22" s="9" t="s">
        <v>117</v>
      </c>
    </row>
    <row r="23" customFormat="false" ht="30" hidden="false" customHeight="true" outlineLevel="0" collapsed="false">
      <c r="A23" s="21" t="s">
        <v>118</v>
      </c>
      <c r="B23" s="21"/>
      <c r="C23" s="21"/>
      <c r="D23" s="21"/>
      <c r="E23" s="21"/>
    </row>
    <row r="25" customFormat="false" ht="19.5" hidden="false" customHeight="true" outlineLevel="0" collapsed="false">
      <c r="A25" s="14" t="s">
        <v>119</v>
      </c>
      <c r="B25" s="15"/>
      <c r="C25" s="15"/>
      <c r="D25" s="15"/>
      <c r="E25" s="15"/>
    </row>
    <row r="26" customFormat="false" ht="18" hidden="false" customHeight="true" outlineLevel="0" collapsed="false">
      <c r="A26" s="5" t="s">
        <v>120</v>
      </c>
      <c r="B26" s="5" t="s">
        <v>121</v>
      </c>
      <c r="C26" s="5"/>
      <c r="D26" s="5"/>
      <c r="E26" s="5"/>
    </row>
    <row r="27" customFormat="false" ht="34.5" hidden="false" customHeight="true" outlineLevel="0" collapsed="false">
      <c r="A27" s="16" t="s">
        <v>122</v>
      </c>
      <c r="B27" s="22" t="n">
        <f aca="false">C9</f>
        <v>72.8</v>
      </c>
      <c r="C27" s="23" t="s">
        <v>123</v>
      </c>
      <c r="D27" s="23"/>
      <c r="E27" s="9" t="s">
        <v>124</v>
      </c>
    </row>
    <row r="28" customFormat="false" ht="42" hidden="false" customHeight="true" outlineLevel="0" collapsed="false">
      <c r="A28" s="16" t="s">
        <v>125</v>
      </c>
      <c r="B28" s="24" t="n">
        <f aca="false">(75-B27)/75</f>
        <v>0.0293333333333334</v>
      </c>
      <c r="C28" s="23"/>
      <c r="D28" s="23"/>
      <c r="E28" s="25" t="s">
        <v>126</v>
      </c>
    </row>
    <row r="29" customFormat="false" ht="31.5" hidden="false" customHeight="true" outlineLevel="0" collapsed="false">
      <c r="A29" s="16" t="s">
        <v>127</v>
      </c>
      <c r="B29" s="26" t="n">
        <f aca="false">B27/(1-0.12)</f>
        <v>82.7272727272727</v>
      </c>
      <c r="C29" s="23" t="s">
        <v>123</v>
      </c>
      <c r="D29" s="23"/>
      <c r="E29" s="9" t="s">
        <v>128</v>
      </c>
    </row>
    <row r="30" customFormat="false" ht="45.75" hidden="false" customHeight="true" outlineLevel="0" collapsed="false">
      <c r="A30" s="16" t="s">
        <v>129</v>
      </c>
      <c r="B30" s="22" t="n">
        <f aca="false">B27/(1-0.1)</f>
        <v>80.8888888888889</v>
      </c>
      <c r="C30" s="23" t="s">
        <v>123</v>
      </c>
      <c r="D30" s="23"/>
      <c r="E30" s="9" t="s">
        <v>130</v>
      </c>
    </row>
    <row r="31" customFormat="false" ht="31.5" hidden="false" customHeight="true" outlineLevel="0" collapsed="false">
      <c r="A31" s="16" t="s">
        <v>131</v>
      </c>
      <c r="B31" s="27" t="n">
        <f aca="false">C6-B29</f>
        <v>4.67272727272729</v>
      </c>
      <c r="C31" s="23" t="s">
        <v>123</v>
      </c>
      <c r="D31" s="23"/>
      <c r="E31" s="25" t="s">
        <v>132</v>
      </c>
    </row>
    <row r="33" customFormat="false" ht="19.5" hidden="false" customHeight="true" outlineLevel="0" collapsed="false">
      <c r="A33" s="14" t="s">
        <v>133</v>
      </c>
      <c r="B33" s="15"/>
      <c r="C33" s="15"/>
      <c r="D33" s="15"/>
      <c r="E33" s="15"/>
    </row>
    <row r="34" customFormat="false" ht="18" hidden="false" customHeight="true" outlineLevel="0" collapsed="false">
      <c r="A34" s="5" t="s">
        <v>6</v>
      </c>
      <c r="B34" s="5" t="s">
        <v>134</v>
      </c>
      <c r="C34" s="5"/>
      <c r="D34" s="5"/>
      <c r="E34" s="5"/>
    </row>
    <row r="35" customFormat="false" ht="45.75" hidden="false" customHeight="true" outlineLevel="0" collapsed="false">
      <c r="A35" s="28" t="s">
        <v>135</v>
      </c>
      <c r="B35" s="9" t="s">
        <v>136</v>
      </c>
      <c r="C35" s="9"/>
      <c r="D35" s="9"/>
      <c r="E35" s="9"/>
    </row>
    <row r="36" customFormat="false" ht="45.75" hidden="false" customHeight="true" outlineLevel="0" collapsed="false">
      <c r="A36" s="28" t="s">
        <v>137</v>
      </c>
      <c r="B36" s="9" t="s">
        <v>138</v>
      </c>
      <c r="C36" s="9"/>
      <c r="D36" s="9"/>
      <c r="E36" s="9"/>
    </row>
    <row r="37" customFormat="false" ht="45.75" hidden="false" customHeight="true" outlineLevel="0" collapsed="false">
      <c r="A37" s="28" t="s">
        <v>139</v>
      </c>
      <c r="B37" s="9" t="s">
        <v>140</v>
      </c>
      <c r="C37" s="9"/>
      <c r="D37" s="9"/>
      <c r="E37" s="9"/>
    </row>
    <row r="38" customFormat="false" ht="45.75" hidden="false" customHeight="true" outlineLevel="0" collapsed="false">
      <c r="A38" s="28" t="s">
        <v>141</v>
      </c>
      <c r="B38" s="9" t="s">
        <v>142</v>
      </c>
      <c r="C38" s="9"/>
      <c r="D38" s="9"/>
      <c r="E38" s="9"/>
    </row>
    <row r="39" customFormat="false" ht="45.75" hidden="false" customHeight="true" outlineLevel="0" collapsed="false">
      <c r="A39" s="28" t="s">
        <v>143</v>
      </c>
      <c r="B39" s="9" t="s">
        <v>144</v>
      </c>
      <c r="C39" s="9"/>
      <c r="D39" s="9"/>
      <c r="E39" s="9"/>
    </row>
    <row r="40" customFormat="false" ht="45.75" hidden="false" customHeight="true" outlineLevel="0" collapsed="false">
      <c r="A40" s="28" t="s">
        <v>145</v>
      </c>
      <c r="B40" s="9" t="s">
        <v>146</v>
      </c>
      <c r="C40" s="9"/>
      <c r="D40" s="9"/>
      <c r="E40" s="9"/>
    </row>
    <row r="41" customFormat="false" ht="45.75" hidden="false" customHeight="true" outlineLevel="0" collapsed="false">
      <c r="A41" s="28" t="s">
        <v>147</v>
      </c>
      <c r="B41" s="9" t="s">
        <v>148</v>
      </c>
      <c r="C41" s="9"/>
      <c r="D41" s="9"/>
      <c r="E41" s="9"/>
    </row>
    <row r="42" customFormat="false" ht="45.75" hidden="false" customHeight="true" outlineLevel="0" collapsed="false">
      <c r="A42" s="28" t="s">
        <v>149</v>
      </c>
      <c r="B42" s="9" t="s">
        <v>150</v>
      </c>
      <c r="C42" s="9"/>
      <c r="D42" s="9"/>
      <c r="E42" s="9"/>
    </row>
    <row r="43" customFormat="false" ht="45.75" hidden="false" customHeight="true" outlineLevel="0" collapsed="false">
      <c r="A43" s="28" t="s">
        <v>151</v>
      </c>
      <c r="B43" s="9" t="s">
        <v>152</v>
      </c>
      <c r="C43" s="9"/>
      <c r="D43" s="9"/>
      <c r="E43" s="9"/>
    </row>
    <row r="44" customFormat="false" ht="120" hidden="false" customHeight="true" outlineLevel="0" collapsed="false">
      <c r="A44" s="1" t="s">
        <v>153</v>
      </c>
      <c r="B44" s="29" t="s">
        <v>154</v>
      </c>
      <c r="C44" s="29"/>
      <c r="D44" s="29"/>
      <c r="E44" s="29"/>
    </row>
    <row r="46" customFormat="false" ht="19.5" hidden="false" customHeight="true" outlineLevel="0" collapsed="false">
      <c r="A46" s="14" t="s">
        <v>155</v>
      </c>
      <c r="B46" s="15"/>
      <c r="C46" s="15"/>
      <c r="D46" s="15"/>
      <c r="E46" s="15"/>
    </row>
    <row r="47" customFormat="false" ht="25.5" hidden="false" customHeight="true" outlineLevel="0" collapsed="false">
      <c r="A47" s="30" t="s">
        <v>156</v>
      </c>
      <c r="B47" s="30"/>
      <c r="C47" s="30"/>
      <c r="D47" s="30"/>
      <c r="E47" s="30"/>
    </row>
    <row r="48" customFormat="false" ht="25.5" hidden="false" customHeight="true" outlineLevel="0" collapsed="false">
      <c r="A48" s="30" t="s">
        <v>157</v>
      </c>
      <c r="B48" s="30"/>
      <c r="C48" s="30"/>
      <c r="D48" s="30"/>
      <c r="E48" s="30"/>
    </row>
    <row r="49" customFormat="false" ht="25.5" hidden="false" customHeight="true" outlineLevel="0" collapsed="false">
      <c r="A49" s="30" t="s">
        <v>158</v>
      </c>
      <c r="B49" s="30"/>
      <c r="C49" s="30"/>
      <c r="D49" s="30"/>
      <c r="E49" s="30"/>
    </row>
    <row r="50" customFormat="false" ht="25.5" hidden="false" customHeight="true" outlineLevel="0" collapsed="false">
      <c r="A50" s="30" t="s">
        <v>159</v>
      </c>
      <c r="B50" s="30"/>
      <c r="C50" s="30"/>
      <c r="D50" s="30"/>
      <c r="E50" s="30"/>
    </row>
    <row r="51" customFormat="false" ht="25.5" hidden="false" customHeight="true" outlineLevel="0" collapsed="false">
      <c r="A51" s="30" t="s">
        <v>160</v>
      </c>
      <c r="B51" s="30"/>
      <c r="C51" s="30"/>
      <c r="D51" s="30"/>
      <c r="E51" s="30"/>
    </row>
    <row r="52" customFormat="false" ht="25.5" hidden="false" customHeight="true" outlineLevel="0" collapsed="false">
      <c r="A52" s="31" t="s">
        <v>161</v>
      </c>
      <c r="B52" s="31"/>
      <c r="C52" s="31"/>
      <c r="D52" s="31"/>
      <c r="E52" s="31"/>
    </row>
    <row r="53" customFormat="false" ht="42" hidden="false" customHeight="true" outlineLevel="0" collapsed="false">
      <c r="A53" s="32" t="s">
        <v>162</v>
      </c>
      <c r="B53" s="32"/>
      <c r="C53" s="32"/>
      <c r="D53" s="32"/>
      <c r="E53" s="32"/>
    </row>
    <row r="54" customFormat="false" ht="42" hidden="false" customHeight="true" outlineLevel="0" collapsed="false">
      <c r="A54" s="32" t="s">
        <v>163</v>
      </c>
      <c r="B54" s="32"/>
      <c r="C54" s="32"/>
      <c r="D54" s="32"/>
      <c r="E54" s="32"/>
    </row>
    <row r="55" customFormat="false" ht="25.5" hidden="false" customHeight="true" outlineLevel="0" collapsed="false">
      <c r="A55" s="19" t="s">
        <v>164</v>
      </c>
      <c r="B55" s="19"/>
      <c r="C55" s="19"/>
      <c r="D55" s="19"/>
      <c r="E55" s="19"/>
    </row>
    <row r="57" customFormat="false" ht="30" hidden="false" customHeight="true" outlineLevel="0" collapsed="false">
      <c r="A57" s="19" t="s">
        <v>165</v>
      </c>
      <c r="B57" s="19"/>
      <c r="C57" s="19"/>
      <c r="D57" s="19"/>
      <c r="E57" s="19"/>
    </row>
    <row r="59" customFormat="false" ht="19.5" hidden="false" customHeight="true" outlineLevel="0" collapsed="false">
      <c r="A59" s="33" t="s">
        <v>166</v>
      </c>
      <c r="B59" s="34"/>
      <c r="C59" s="34"/>
      <c r="D59" s="34"/>
      <c r="E59" s="34"/>
    </row>
    <row r="60" customFormat="false" ht="15" hidden="false" customHeight="true" outlineLevel="0" collapsed="false">
      <c r="A60" s="5" t="s">
        <v>167</v>
      </c>
      <c r="B60" s="5" t="s">
        <v>168</v>
      </c>
      <c r="C60" s="5" t="s">
        <v>169</v>
      </c>
      <c r="D60" s="5"/>
      <c r="E60" s="5"/>
    </row>
    <row r="61" customFormat="false" ht="63.75" hidden="false" customHeight="true" outlineLevel="0" collapsed="false">
      <c r="A61" s="28" t="s">
        <v>170</v>
      </c>
      <c r="B61" s="35" t="s">
        <v>171</v>
      </c>
      <c r="C61" s="9" t="s">
        <v>172</v>
      </c>
      <c r="D61" s="9"/>
      <c r="E61" s="9"/>
    </row>
    <row r="62" customFormat="false" ht="63.75" hidden="false" customHeight="true" outlineLevel="0" collapsed="false">
      <c r="A62" s="28" t="s">
        <v>173</v>
      </c>
      <c r="B62" s="36" t="s">
        <v>174</v>
      </c>
      <c r="C62" s="9" t="s">
        <v>175</v>
      </c>
      <c r="D62" s="9"/>
      <c r="E62" s="9"/>
    </row>
    <row r="63" customFormat="false" ht="63.75" hidden="false" customHeight="true" outlineLevel="0" collapsed="false">
      <c r="A63" s="28" t="s">
        <v>176</v>
      </c>
      <c r="B63" s="36" t="s">
        <v>177</v>
      </c>
      <c r="C63" s="9" t="s">
        <v>178</v>
      </c>
      <c r="D63" s="9"/>
      <c r="E63" s="9"/>
    </row>
    <row r="64" customFormat="false" ht="63.75" hidden="false" customHeight="true" outlineLevel="0" collapsed="false">
      <c r="A64" s="28" t="s">
        <v>179</v>
      </c>
      <c r="B64" s="37" t="s">
        <v>180</v>
      </c>
      <c r="C64" s="9" t="s">
        <v>181</v>
      </c>
      <c r="D64" s="9"/>
      <c r="E64" s="9"/>
    </row>
    <row r="65" customFormat="false" ht="63.75" hidden="false" customHeight="true" outlineLevel="0" collapsed="false">
      <c r="A65" s="28" t="s">
        <v>182</v>
      </c>
      <c r="B65" s="35" t="s">
        <v>183</v>
      </c>
      <c r="C65" s="9" t="s">
        <v>184</v>
      </c>
      <c r="D65" s="9"/>
      <c r="E65" s="9"/>
    </row>
    <row r="66" customFormat="false" ht="63.75" hidden="false" customHeight="true" outlineLevel="0" collapsed="false">
      <c r="A66" s="28" t="s">
        <v>185</v>
      </c>
      <c r="B66" s="37" t="s">
        <v>186</v>
      </c>
      <c r="C66" s="9" t="s">
        <v>187</v>
      </c>
      <c r="D66" s="9"/>
      <c r="E66" s="9"/>
    </row>
    <row r="68" customFormat="false" ht="51.75" hidden="false" customHeight="true" outlineLevel="0" collapsed="false">
      <c r="A68" s="21" t="s">
        <v>188</v>
      </c>
      <c r="B68" s="21"/>
      <c r="C68" s="21"/>
      <c r="D68" s="21"/>
      <c r="E68" s="21"/>
    </row>
  </sheetData>
  <mergeCells count="30">
    <mergeCell ref="A2:E2"/>
    <mergeCell ref="A17:E17"/>
    <mergeCell ref="A23:E23"/>
    <mergeCell ref="B35:E35"/>
    <mergeCell ref="B36:E36"/>
    <mergeCell ref="B37:E37"/>
    <mergeCell ref="B38:E38"/>
    <mergeCell ref="B39:E39"/>
    <mergeCell ref="B40:E40"/>
    <mergeCell ref="B41:E41"/>
    <mergeCell ref="B42:E42"/>
    <mergeCell ref="B43:E43"/>
    <mergeCell ref="B44:E44"/>
    <mergeCell ref="A47:E47"/>
    <mergeCell ref="A48:E48"/>
    <mergeCell ref="A49:E49"/>
    <mergeCell ref="A50:E50"/>
    <mergeCell ref="A51:E51"/>
    <mergeCell ref="A52:E52"/>
    <mergeCell ref="A53:E53"/>
    <mergeCell ref="A54:E54"/>
    <mergeCell ref="A55:E55"/>
    <mergeCell ref="A57:E57"/>
    <mergeCell ref="C61:E61"/>
    <mergeCell ref="C62:E62"/>
    <mergeCell ref="C63:E63"/>
    <mergeCell ref="C64:E64"/>
    <mergeCell ref="C65:E65"/>
    <mergeCell ref="C66:E66"/>
    <mergeCell ref="A68:E6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32"/>
    <col collapsed="false" customWidth="true" hidden="false" outlineLevel="0" max="3" min="3" style="1" width="8"/>
    <col collapsed="false" customWidth="true" hidden="false" outlineLevel="0" max="4" min="4" style="1" width="16"/>
    <col collapsed="false" customWidth="true" hidden="false" outlineLevel="0" max="5" min="5" style="1" width="12"/>
    <col collapsed="false" customWidth="true" hidden="false" outlineLevel="0" max="6" min="6" style="0" width="68"/>
  </cols>
  <sheetData>
    <row r="1" customFormat="false" ht="24" hidden="false" customHeight="true" outlineLevel="0" collapsed="false">
      <c r="A1" s="38" t="s">
        <v>189</v>
      </c>
      <c r="B1" s="38"/>
      <c r="C1" s="38"/>
      <c r="D1" s="38"/>
      <c r="E1" s="38"/>
      <c r="F1" s="38"/>
    </row>
    <row r="2" customFormat="false" ht="31.5" hidden="false" customHeight="true" outlineLevel="0" collapsed="false">
      <c r="A2" s="13" t="s">
        <v>190</v>
      </c>
      <c r="B2" s="13"/>
      <c r="C2" s="13"/>
      <c r="D2" s="13"/>
      <c r="E2" s="13"/>
      <c r="F2" s="13"/>
    </row>
    <row r="3" customFormat="false" ht="19.5" hidden="false" customHeight="true" outlineLevel="0" collapsed="false">
      <c r="A3" s="14" t="s">
        <v>191</v>
      </c>
      <c r="B3" s="15"/>
      <c r="C3" s="15"/>
      <c r="D3" s="15"/>
      <c r="E3" s="15"/>
      <c r="F3" s="15"/>
    </row>
    <row r="4" customFormat="false" ht="18" hidden="false" customHeight="true" outlineLevel="0" collapsed="false">
      <c r="A4" s="5" t="s">
        <v>192</v>
      </c>
      <c r="B4" s="5" t="s">
        <v>193</v>
      </c>
      <c r="C4" s="5" t="s">
        <v>194</v>
      </c>
      <c r="D4" s="5" t="s">
        <v>195</v>
      </c>
      <c r="E4" s="5" t="s">
        <v>196</v>
      </c>
      <c r="F4" s="5" t="s">
        <v>197</v>
      </c>
    </row>
    <row r="5" customFormat="false" ht="31.5" hidden="false" customHeight="true" outlineLevel="0" collapsed="false">
      <c r="A5" s="28" t="s">
        <v>198</v>
      </c>
      <c r="B5" s="39" t="s">
        <v>199</v>
      </c>
      <c r="C5" s="7" t="s">
        <v>200</v>
      </c>
      <c r="D5" s="7" t="s">
        <v>201</v>
      </c>
      <c r="E5" s="7" t="s">
        <v>31</v>
      </c>
      <c r="F5" s="9" t="s">
        <v>202</v>
      </c>
    </row>
    <row r="6" customFormat="false" ht="18.75" hidden="false" customHeight="true" outlineLevel="0" collapsed="false">
      <c r="A6" s="28" t="s">
        <v>203</v>
      </c>
      <c r="B6" s="39" t="s">
        <v>204</v>
      </c>
      <c r="C6" s="7" t="s">
        <v>200</v>
      </c>
      <c r="D6" s="7" t="s">
        <v>205</v>
      </c>
      <c r="E6" s="7" t="s">
        <v>31</v>
      </c>
      <c r="F6" s="9" t="s">
        <v>206</v>
      </c>
    </row>
    <row r="7" customFormat="false" ht="18.75" hidden="false" customHeight="true" outlineLevel="0" collapsed="false">
      <c r="A7" s="28" t="s">
        <v>207</v>
      </c>
      <c r="B7" s="39" t="s">
        <v>208</v>
      </c>
      <c r="C7" s="7" t="s">
        <v>200</v>
      </c>
      <c r="D7" s="7" t="s">
        <v>209</v>
      </c>
      <c r="E7" s="7" t="s">
        <v>31</v>
      </c>
      <c r="F7" s="9" t="s">
        <v>210</v>
      </c>
    </row>
    <row r="8" customFormat="false" ht="31.5" hidden="false" customHeight="true" outlineLevel="0" collapsed="false">
      <c r="A8" s="28" t="s">
        <v>211</v>
      </c>
      <c r="B8" s="39" t="s">
        <v>212</v>
      </c>
      <c r="C8" s="7" t="s">
        <v>213</v>
      </c>
      <c r="D8" s="7" t="s">
        <v>214</v>
      </c>
      <c r="E8" s="7" t="s">
        <v>31</v>
      </c>
      <c r="F8" s="9" t="s">
        <v>215</v>
      </c>
    </row>
    <row r="9" customFormat="false" ht="19.5" hidden="false" customHeight="true" outlineLevel="0" collapsed="false">
      <c r="A9" s="14" t="s">
        <v>216</v>
      </c>
      <c r="B9" s="15"/>
      <c r="C9" s="15"/>
      <c r="D9" s="15"/>
      <c r="E9" s="15"/>
      <c r="F9" s="15"/>
    </row>
    <row r="10" customFormat="false" ht="18" hidden="false" customHeight="true" outlineLevel="0" collapsed="false">
      <c r="A10" s="5" t="s">
        <v>192</v>
      </c>
      <c r="B10" s="5" t="s">
        <v>193</v>
      </c>
      <c r="C10" s="5" t="s">
        <v>194</v>
      </c>
      <c r="D10" s="5" t="s">
        <v>195</v>
      </c>
      <c r="E10" s="5" t="s">
        <v>196</v>
      </c>
      <c r="F10" s="5" t="s">
        <v>197</v>
      </c>
    </row>
    <row r="11" customFormat="false" ht="31.5" hidden="false" customHeight="true" outlineLevel="0" collapsed="false">
      <c r="A11" s="28" t="s">
        <v>217</v>
      </c>
      <c r="B11" s="39" t="s">
        <v>212</v>
      </c>
      <c r="C11" s="7" t="s">
        <v>218</v>
      </c>
      <c r="D11" s="7" t="s">
        <v>219</v>
      </c>
      <c r="E11" s="7" t="s">
        <v>220</v>
      </c>
      <c r="F11" s="9" t="s">
        <v>221</v>
      </c>
    </row>
    <row r="12" customFormat="false" ht="19.5" hidden="false" customHeight="true" outlineLevel="0" collapsed="false">
      <c r="A12" s="14" t="s">
        <v>222</v>
      </c>
      <c r="B12" s="15"/>
      <c r="C12" s="15"/>
      <c r="D12" s="15"/>
      <c r="E12" s="15"/>
      <c r="F12" s="15"/>
    </row>
    <row r="13" customFormat="false" ht="18" hidden="false" customHeight="true" outlineLevel="0" collapsed="false">
      <c r="A13" s="5" t="s">
        <v>192</v>
      </c>
      <c r="B13" s="5" t="s">
        <v>193</v>
      </c>
      <c r="C13" s="5" t="s">
        <v>194</v>
      </c>
      <c r="D13" s="5" t="s">
        <v>195</v>
      </c>
      <c r="E13" s="5" t="s">
        <v>196</v>
      </c>
      <c r="F13" s="5" t="s">
        <v>197</v>
      </c>
    </row>
    <row r="14" customFormat="false" ht="45" hidden="false" customHeight="true" outlineLevel="0" collapsed="false">
      <c r="A14" s="28" t="s">
        <v>223</v>
      </c>
      <c r="B14" s="39" t="s">
        <v>224</v>
      </c>
      <c r="C14" s="7" t="s">
        <v>225</v>
      </c>
      <c r="D14" s="7" t="s">
        <v>226</v>
      </c>
      <c r="E14" s="7" t="s">
        <v>227</v>
      </c>
      <c r="F14" s="9" t="s">
        <v>228</v>
      </c>
    </row>
    <row r="15" customFormat="false" ht="31.5" hidden="false" customHeight="true" outlineLevel="0" collapsed="false">
      <c r="A15" s="28" t="s">
        <v>229</v>
      </c>
      <c r="B15" s="39" t="s">
        <v>230</v>
      </c>
      <c r="C15" s="7" t="s">
        <v>225</v>
      </c>
      <c r="D15" s="7" t="s">
        <v>231</v>
      </c>
      <c r="E15" s="7" t="s">
        <v>232</v>
      </c>
      <c r="F15" s="9" t="s">
        <v>233</v>
      </c>
    </row>
    <row r="16" customFormat="false" ht="19.5" hidden="false" customHeight="true" outlineLevel="0" collapsed="false">
      <c r="A16" s="14" t="s">
        <v>234</v>
      </c>
      <c r="B16" s="15"/>
      <c r="C16" s="15"/>
      <c r="D16" s="15"/>
      <c r="E16" s="15"/>
      <c r="F16" s="15"/>
    </row>
    <row r="17" customFormat="false" ht="18" hidden="false" customHeight="true" outlineLevel="0" collapsed="false">
      <c r="A17" s="5" t="s">
        <v>192</v>
      </c>
      <c r="B17" s="5" t="s">
        <v>193</v>
      </c>
      <c r="C17" s="5" t="s">
        <v>194</v>
      </c>
      <c r="D17" s="5" t="s">
        <v>195</v>
      </c>
      <c r="E17" s="5" t="s">
        <v>196</v>
      </c>
      <c r="F17" s="5" t="s">
        <v>197</v>
      </c>
    </row>
    <row r="18" customFormat="false" ht="31.5" hidden="false" customHeight="true" outlineLevel="0" collapsed="false">
      <c r="A18" s="28" t="s">
        <v>235</v>
      </c>
      <c r="B18" s="39" t="s">
        <v>10</v>
      </c>
      <c r="C18" s="7" t="s">
        <v>225</v>
      </c>
      <c r="D18" s="7" t="s">
        <v>236</v>
      </c>
      <c r="E18" s="7" t="s">
        <v>227</v>
      </c>
      <c r="F18" s="9" t="s">
        <v>237</v>
      </c>
    </row>
    <row r="19" customFormat="false" ht="19.5" hidden="false" customHeight="true" outlineLevel="0" collapsed="false">
      <c r="A19" s="14" t="s">
        <v>238</v>
      </c>
      <c r="B19" s="15"/>
      <c r="C19" s="15"/>
      <c r="D19" s="15"/>
      <c r="E19" s="15"/>
      <c r="F19" s="15"/>
    </row>
    <row r="20" customFormat="false" ht="18" hidden="false" customHeight="true" outlineLevel="0" collapsed="false">
      <c r="A20" s="5" t="s">
        <v>192</v>
      </c>
      <c r="B20" s="5" t="s">
        <v>193</v>
      </c>
      <c r="C20" s="5" t="s">
        <v>194</v>
      </c>
      <c r="D20" s="5" t="s">
        <v>195</v>
      </c>
      <c r="E20" s="5" t="s">
        <v>196</v>
      </c>
      <c r="F20" s="5" t="s">
        <v>197</v>
      </c>
    </row>
    <row r="21" customFormat="false" ht="84" hidden="false" customHeight="true" outlineLevel="0" collapsed="false">
      <c r="A21" s="28" t="s">
        <v>239</v>
      </c>
      <c r="B21" s="39" t="s">
        <v>240</v>
      </c>
      <c r="C21" s="7" t="s">
        <v>225</v>
      </c>
      <c r="D21" s="7" t="s">
        <v>241</v>
      </c>
      <c r="E21" s="7" t="s">
        <v>242</v>
      </c>
      <c r="F21" s="9" t="s">
        <v>243</v>
      </c>
    </row>
    <row r="22" customFormat="false" ht="31.5" hidden="false" customHeight="true" outlineLevel="0" collapsed="false">
      <c r="A22" s="28" t="s">
        <v>244</v>
      </c>
      <c r="B22" s="39" t="s">
        <v>16</v>
      </c>
      <c r="C22" s="7" t="s">
        <v>225</v>
      </c>
      <c r="D22" s="7" t="s">
        <v>236</v>
      </c>
      <c r="E22" s="7" t="s">
        <v>227</v>
      </c>
      <c r="F22" s="9" t="s">
        <v>245</v>
      </c>
    </row>
    <row r="23" customFormat="false" ht="19.5" hidden="false" customHeight="true" outlineLevel="0" collapsed="false">
      <c r="A23" s="14" t="s">
        <v>246</v>
      </c>
      <c r="B23" s="15"/>
      <c r="C23" s="15"/>
      <c r="D23" s="15"/>
      <c r="E23" s="15"/>
      <c r="F23" s="15"/>
    </row>
    <row r="24" customFormat="false" ht="18" hidden="false" customHeight="true" outlineLevel="0" collapsed="false">
      <c r="A24" s="5" t="s">
        <v>192</v>
      </c>
      <c r="B24" s="5" t="s">
        <v>193</v>
      </c>
      <c r="C24" s="5" t="s">
        <v>194</v>
      </c>
      <c r="D24" s="5" t="s">
        <v>195</v>
      </c>
      <c r="E24" s="5" t="s">
        <v>196</v>
      </c>
      <c r="F24" s="5" t="s">
        <v>197</v>
      </c>
    </row>
    <row r="25" customFormat="false" ht="31.5" hidden="false" customHeight="true" outlineLevel="0" collapsed="false">
      <c r="A25" s="28" t="s">
        <v>247</v>
      </c>
      <c r="B25" s="39" t="s">
        <v>248</v>
      </c>
      <c r="C25" s="7" t="s">
        <v>225</v>
      </c>
      <c r="D25" s="7" t="s">
        <v>241</v>
      </c>
      <c r="E25" s="7" t="s">
        <v>227</v>
      </c>
      <c r="F25" s="9" t="s">
        <v>249</v>
      </c>
    </row>
    <row r="26" customFormat="false" ht="12" hidden="false" customHeight="true" outlineLevel="0" collapsed="false"/>
    <row r="27" customFormat="false" ht="24" hidden="false" customHeight="true" outlineLevel="0" collapsed="false">
      <c r="A27" s="38" t="s">
        <v>250</v>
      </c>
      <c r="B27" s="38"/>
      <c r="C27" s="38"/>
      <c r="D27" s="38"/>
      <c r="E27" s="38"/>
      <c r="F27" s="38"/>
    </row>
    <row r="28" customFormat="false" ht="18.75" hidden="false" customHeight="true" outlineLevel="0" collapsed="false">
      <c r="A28" s="13" t="s">
        <v>251</v>
      </c>
      <c r="B28" s="13"/>
      <c r="C28" s="13"/>
      <c r="D28" s="13"/>
      <c r="E28" s="13"/>
      <c r="F28" s="13"/>
    </row>
    <row r="29" customFormat="false" ht="19.5" hidden="false" customHeight="true" outlineLevel="0" collapsed="false">
      <c r="A29" s="14" t="s">
        <v>191</v>
      </c>
      <c r="B29" s="15"/>
      <c r="C29" s="15"/>
      <c r="D29" s="15"/>
      <c r="E29" s="15"/>
      <c r="F29" s="15"/>
    </row>
    <row r="30" customFormat="false" ht="18" hidden="false" customHeight="true" outlineLevel="0" collapsed="false">
      <c r="A30" s="5" t="s">
        <v>192</v>
      </c>
      <c r="B30" s="5" t="s">
        <v>193</v>
      </c>
      <c r="C30" s="5" t="s">
        <v>194</v>
      </c>
      <c r="D30" s="5" t="s">
        <v>195</v>
      </c>
      <c r="E30" s="5" t="s">
        <v>196</v>
      </c>
      <c r="F30" s="5" t="s">
        <v>197</v>
      </c>
    </row>
    <row r="31" customFormat="false" ht="31.5" hidden="false" customHeight="true" outlineLevel="0" collapsed="false">
      <c r="A31" s="28" t="s">
        <v>252</v>
      </c>
      <c r="B31" s="39" t="s">
        <v>253</v>
      </c>
      <c r="C31" s="7" t="s">
        <v>200</v>
      </c>
      <c r="D31" s="7" t="s">
        <v>254</v>
      </c>
      <c r="E31" s="7" t="s">
        <v>31</v>
      </c>
      <c r="F31" s="9" t="s">
        <v>255</v>
      </c>
    </row>
    <row r="32" customFormat="false" ht="31.5" hidden="false" customHeight="true" outlineLevel="0" collapsed="false">
      <c r="A32" s="28" t="s">
        <v>256</v>
      </c>
      <c r="B32" s="39" t="s">
        <v>257</v>
      </c>
      <c r="C32" s="7" t="s">
        <v>200</v>
      </c>
      <c r="D32" s="7" t="s">
        <v>258</v>
      </c>
      <c r="E32" s="7" t="s">
        <v>31</v>
      </c>
      <c r="F32" s="9" t="s">
        <v>259</v>
      </c>
    </row>
    <row r="33" customFormat="false" ht="18.75" hidden="false" customHeight="true" outlineLevel="0" collapsed="false">
      <c r="A33" s="28" t="s">
        <v>260</v>
      </c>
      <c r="B33" s="39" t="s">
        <v>261</v>
      </c>
      <c r="C33" s="7" t="s">
        <v>200</v>
      </c>
      <c r="D33" s="7" t="s">
        <v>262</v>
      </c>
      <c r="E33" s="7" t="s">
        <v>31</v>
      </c>
      <c r="F33" s="9" t="s">
        <v>263</v>
      </c>
    </row>
    <row r="34" customFormat="false" ht="19.5" hidden="false" customHeight="true" outlineLevel="0" collapsed="false">
      <c r="A34" s="14" t="s">
        <v>264</v>
      </c>
      <c r="B34" s="15"/>
      <c r="C34" s="15"/>
      <c r="D34" s="15"/>
      <c r="E34" s="15"/>
      <c r="F34" s="15"/>
    </row>
    <row r="35" customFormat="false" ht="18" hidden="false" customHeight="true" outlineLevel="0" collapsed="false">
      <c r="A35" s="5" t="s">
        <v>192</v>
      </c>
      <c r="B35" s="5" t="s">
        <v>193</v>
      </c>
      <c r="C35" s="5" t="s">
        <v>194</v>
      </c>
      <c r="D35" s="5" t="s">
        <v>195</v>
      </c>
      <c r="E35" s="5" t="s">
        <v>196</v>
      </c>
      <c r="F35" s="5" t="s">
        <v>197</v>
      </c>
    </row>
    <row r="36" customFormat="false" ht="57.75" hidden="false" customHeight="true" outlineLevel="0" collapsed="false">
      <c r="A36" s="28" t="s">
        <v>265</v>
      </c>
      <c r="B36" s="39" t="s">
        <v>266</v>
      </c>
      <c r="C36" s="7" t="s">
        <v>218</v>
      </c>
      <c r="D36" s="7" t="s">
        <v>219</v>
      </c>
      <c r="E36" s="7" t="s">
        <v>220</v>
      </c>
      <c r="F36" s="9" t="s">
        <v>267</v>
      </c>
    </row>
    <row r="37" customFormat="false" ht="19.5" hidden="false" customHeight="true" outlineLevel="0" collapsed="false">
      <c r="A37" s="14" t="s">
        <v>268</v>
      </c>
      <c r="B37" s="15"/>
      <c r="C37" s="15"/>
      <c r="D37" s="15"/>
      <c r="E37" s="15"/>
      <c r="F37" s="15"/>
    </row>
    <row r="38" customFormat="false" ht="18" hidden="false" customHeight="true" outlineLevel="0" collapsed="false">
      <c r="A38" s="5" t="s">
        <v>192</v>
      </c>
      <c r="B38" s="5" t="s">
        <v>193</v>
      </c>
      <c r="C38" s="5" t="s">
        <v>194</v>
      </c>
      <c r="D38" s="5" t="s">
        <v>195</v>
      </c>
      <c r="E38" s="5" t="s">
        <v>196</v>
      </c>
      <c r="F38" s="5" t="s">
        <v>197</v>
      </c>
    </row>
    <row r="39" customFormat="false" ht="45" hidden="false" customHeight="true" outlineLevel="0" collapsed="false">
      <c r="A39" s="28" t="s">
        <v>269</v>
      </c>
      <c r="B39" s="39" t="s">
        <v>270</v>
      </c>
      <c r="C39" s="7" t="s">
        <v>225</v>
      </c>
      <c r="D39" s="7" t="s">
        <v>231</v>
      </c>
      <c r="E39" s="7" t="s">
        <v>232</v>
      </c>
      <c r="F39" s="9" t="s">
        <v>271</v>
      </c>
    </row>
    <row r="40" customFormat="false" ht="45" hidden="false" customHeight="true" outlineLevel="0" collapsed="false">
      <c r="A40" s="28" t="s">
        <v>272</v>
      </c>
      <c r="B40" s="39" t="s">
        <v>273</v>
      </c>
      <c r="C40" s="7" t="s">
        <v>225</v>
      </c>
      <c r="D40" s="7" t="s">
        <v>274</v>
      </c>
      <c r="E40" s="7" t="s">
        <v>227</v>
      </c>
      <c r="F40" s="9" t="s">
        <v>275</v>
      </c>
    </row>
    <row r="41" customFormat="false" ht="19.5" hidden="false" customHeight="true" outlineLevel="0" collapsed="false">
      <c r="A41" s="14" t="s">
        <v>276</v>
      </c>
      <c r="B41" s="15"/>
      <c r="C41" s="15"/>
      <c r="D41" s="15"/>
      <c r="E41" s="15"/>
      <c r="F41" s="15"/>
    </row>
    <row r="42" customFormat="false" ht="18" hidden="false" customHeight="true" outlineLevel="0" collapsed="false">
      <c r="A42" s="5" t="s">
        <v>192</v>
      </c>
      <c r="B42" s="5" t="s">
        <v>193</v>
      </c>
      <c r="C42" s="5" t="s">
        <v>194</v>
      </c>
      <c r="D42" s="5" t="s">
        <v>195</v>
      </c>
      <c r="E42" s="5" t="s">
        <v>196</v>
      </c>
      <c r="F42" s="5" t="s">
        <v>197</v>
      </c>
    </row>
    <row r="43" customFormat="false" ht="31.5" hidden="false" customHeight="true" outlineLevel="0" collapsed="false">
      <c r="A43" s="28" t="s">
        <v>277</v>
      </c>
      <c r="B43" s="39" t="s">
        <v>278</v>
      </c>
      <c r="C43" s="7" t="s">
        <v>279</v>
      </c>
      <c r="D43" s="7" t="s">
        <v>236</v>
      </c>
      <c r="E43" s="7" t="s">
        <v>280</v>
      </c>
      <c r="F43" s="9" t="s">
        <v>281</v>
      </c>
    </row>
    <row r="44" customFormat="false" ht="31.5" hidden="false" customHeight="true" outlineLevel="0" collapsed="false">
      <c r="A44" s="28" t="s">
        <v>282</v>
      </c>
      <c r="B44" s="39" t="s">
        <v>199</v>
      </c>
      <c r="C44" s="7" t="s">
        <v>225</v>
      </c>
      <c r="D44" s="7" t="s">
        <v>236</v>
      </c>
      <c r="E44" s="7" t="s">
        <v>280</v>
      </c>
      <c r="F44" s="9" t="s">
        <v>283</v>
      </c>
    </row>
    <row r="45" customFormat="false" ht="19.5" hidden="false" customHeight="true" outlineLevel="0" collapsed="false">
      <c r="A45" s="14" t="s">
        <v>284</v>
      </c>
      <c r="B45" s="15"/>
      <c r="C45" s="15"/>
      <c r="D45" s="15"/>
      <c r="E45" s="15"/>
      <c r="F45" s="15"/>
    </row>
    <row r="46" customFormat="false" ht="18" hidden="false" customHeight="true" outlineLevel="0" collapsed="false">
      <c r="A46" s="5" t="s">
        <v>192</v>
      </c>
      <c r="B46" s="5" t="s">
        <v>193</v>
      </c>
      <c r="C46" s="5" t="s">
        <v>194</v>
      </c>
      <c r="D46" s="5" t="s">
        <v>195</v>
      </c>
      <c r="E46" s="5" t="s">
        <v>196</v>
      </c>
      <c r="F46" s="5" t="s">
        <v>197</v>
      </c>
    </row>
    <row r="47" customFormat="false" ht="45" hidden="false" customHeight="true" outlineLevel="0" collapsed="false">
      <c r="A47" s="28" t="s">
        <v>285</v>
      </c>
      <c r="B47" s="39" t="s">
        <v>286</v>
      </c>
      <c r="C47" s="7" t="s">
        <v>225</v>
      </c>
      <c r="D47" s="7" t="s">
        <v>241</v>
      </c>
      <c r="E47" s="7" t="s">
        <v>227</v>
      </c>
      <c r="F47" s="9" t="s">
        <v>287</v>
      </c>
    </row>
    <row r="48" customFormat="false" ht="19.5" hidden="false" customHeight="true" outlineLevel="0" collapsed="false">
      <c r="A48" s="40" t="s">
        <v>288</v>
      </c>
      <c r="B48" s="41"/>
      <c r="C48" s="41"/>
      <c r="D48" s="41"/>
      <c r="E48" s="41"/>
      <c r="F48" s="41"/>
    </row>
    <row r="49" customFormat="false" ht="18" hidden="false" customHeight="true" outlineLevel="0" collapsed="false">
      <c r="A49" s="5" t="s">
        <v>192</v>
      </c>
      <c r="B49" s="5" t="s">
        <v>193</v>
      </c>
      <c r="C49" s="5" t="s">
        <v>194</v>
      </c>
      <c r="D49" s="5" t="s">
        <v>195</v>
      </c>
      <c r="E49" s="5" t="s">
        <v>196</v>
      </c>
      <c r="F49" s="5" t="s">
        <v>197</v>
      </c>
    </row>
    <row r="50" customFormat="false" ht="45" hidden="false" customHeight="true" outlineLevel="0" collapsed="false">
      <c r="A50" s="28" t="s">
        <v>289</v>
      </c>
      <c r="B50" s="39" t="s">
        <v>290</v>
      </c>
      <c r="C50" s="7" t="s">
        <v>225</v>
      </c>
      <c r="D50" s="7" t="s">
        <v>291</v>
      </c>
      <c r="E50" s="7" t="s">
        <v>227</v>
      </c>
      <c r="F50" s="9" t="s">
        <v>292</v>
      </c>
    </row>
    <row r="51" customFormat="false" ht="12" hidden="false" customHeight="true" outlineLevel="0" collapsed="false"/>
    <row r="52" customFormat="false" ht="24" hidden="false" customHeight="true" outlineLevel="0" collapsed="false">
      <c r="A52" s="38" t="s">
        <v>293</v>
      </c>
      <c r="B52" s="38"/>
      <c r="C52" s="38"/>
      <c r="D52" s="38"/>
      <c r="E52" s="38"/>
      <c r="F52" s="38"/>
    </row>
    <row r="53" customFormat="false" ht="31.5" hidden="false" customHeight="true" outlineLevel="0" collapsed="false">
      <c r="A53" s="13" t="s">
        <v>294</v>
      </c>
      <c r="B53" s="13"/>
      <c r="C53" s="13"/>
      <c r="D53" s="13"/>
      <c r="E53" s="13"/>
      <c r="F53" s="13"/>
    </row>
    <row r="54" customFormat="false" ht="19.5" hidden="false" customHeight="true" outlineLevel="0" collapsed="false">
      <c r="A54" s="14" t="s">
        <v>295</v>
      </c>
      <c r="B54" s="15"/>
      <c r="C54" s="15"/>
      <c r="D54" s="15"/>
      <c r="E54" s="15"/>
      <c r="F54" s="15"/>
    </row>
    <row r="55" customFormat="false" ht="18" hidden="false" customHeight="true" outlineLevel="0" collapsed="false">
      <c r="A55" s="5" t="s">
        <v>192</v>
      </c>
      <c r="B55" s="5" t="s">
        <v>193</v>
      </c>
      <c r="C55" s="5" t="s">
        <v>194</v>
      </c>
      <c r="D55" s="5" t="s">
        <v>195</v>
      </c>
      <c r="E55" s="5" t="s">
        <v>196</v>
      </c>
      <c r="F55" s="5" t="s">
        <v>197</v>
      </c>
    </row>
    <row r="56" customFormat="false" ht="18.75" hidden="false" customHeight="true" outlineLevel="0" collapsed="false">
      <c r="A56" s="28" t="s">
        <v>296</v>
      </c>
      <c r="B56" s="39" t="s">
        <v>297</v>
      </c>
      <c r="C56" s="7" t="s">
        <v>200</v>
      </c>
      <c r="D56" s="7" t="s">
        <v>298</v>
      </c>
      <c r="E56" s="7" t="s">
        <v>31</v>
      </c>
      <c r="F56" s="9" t="s">
        <v>299</v>
      </c>
    </row>
    <row r="57" customFormat="false" ht="18.75" hidden="false" customHeight="true" outlineLevel="0" collapsed="false">
      <c r="A57" s="28" t="s">
        <v>300</v>
      </c>
      <c r="B57" s="39" t="s">
        <v>301</v>
      </c>
      <c r="C57" s="7" t="s">
        <v>200</v>
      </c>
      <c r="D57" s="7" t="s">
        <v>302</v>
      </c>
      <c r="E57" s="7" t="s">
        <v>31</v>
      </c>
      <c r="F57" s="9" t="s">
        <v>303</v>
      </c>
    </row>
    <row r="58" customFormat="false" ht="31.5" hidden="false" customHeight="true" outlineLevel="0" collapsed="false">
      <c r="A58" s="28" t="s">
        <v>304</v>
      </c>
      <c r="B58" s="39" t="s">
        <v>305</v>
      </c>
      <c r="C58" s="7" t="s">
        <v>200</v>
      </c>
      <c r="D58" s="7" t="s">
        <v>306</v>
      </c>
      <c r="E58" s="7" t="s">
        <v>31</v>
      </c>
      <c r="F58" s="9" t="s">
        <v>307</v>
      </c>
    </row>
    <row r="59" customFormat="false" ht="19.5" hidden="false" customHeight="true" outlineLevel="0" collapsed="false">
      <c r="A59" s="14" t="s">
        <v>308</v>
      </c>
      <c r="B59" s="15"/>
      <c r="C59" s="15"/>
      <c r="D59" s="15"/>
      <c r="E59" s="15"/>
      <c r="F59" s="15"/>
    </row>
    <row r="60" customFormat="false" ht="18" hidden="false" customHeight="true" outlineLevel="0" collapsed="false">
      <c r="A60" s="5" t="s">
        <v>192</v>
      </c>
      <c r="B60" s="5" t="s">
        <v>193</v>
      </c>
      <c r="C60" s="5" t="s">
        <v>194</v>
      </c>
      <c r="D60" s="5" t="s">
        <v>195</v>
      </c>
      <c r="E60" s="5" t="s">
        <v>196</v>
      </c>
      <c r="F60" s="5" t="s">
        <v>197</v>
      </c>
    </row>
    <row r="61" customFormat="false" ht="84" hidden="false" customHeight="true" outlineLevel="0" collapsed="false">
      <c r="A61" s="28" t="s">
        <v>309</v>
      </c>
      <c r="B61" s="39" t="s">
        <v>310</v>
      </c>
      <c r="C61" s="7" t="s">
        <v>218</v>
      </c>
      <c r="D61" s="7" t="s">
        <v>219</v>
      </c>
      <c r="E61" s="7" t="s">
        <v>220</v>
      </c>
      <c r="F61" s="9" t="s">
        <v>311</v>
      </c>
    </row>
    <row r="62" customFormat="false" ht="19.5" hidden="false" customHeight="true" outlineLevel="0" collapsed="false">
      <c r="A62" s="14" t="s">
        <v>312</v>
      </c>
      <c r="B62" s="15"/>
      <c r="C62" s="15"/>
      <c r="D62" s="15"/>
      <c r="E62" s="15"/>
      <c r="F62" s="15"/>
    </row>
    <row r="63" customFormat="false" ht="18" hidden="false" customHeight="true" outlineLevel="0" collapsed="false">
      <c r="A63" s="5" t="s">
        <v>192</v>
      </c>
      <c r="B63" s="5" t="s">
        <v>193</v>
      </c>
      <c r="C63" s="5" t="s">
        <v>194</v>
      </c>
      <c r="D63" s="5" t="s">
        <v>195</v>
      </c>
      <c r="E63" s="5" t="s">
        <v>196</v>
      </c>
      <c r="F63" s="5" t="s">
        <v>197</v>
      </c>
    </row>
    <row r="64" customFormat="false" ht="84" hidden="false" customHeight="true" outlineLevel="0" collapsed="false">
      <c r="A64" s="28" t="s">
        <v>313</v>
      </c>
      <c r="B64" s="39" t="s">
        <v>310</v>
      </c>
      <c r="C64" s="7" t="s">
        <v>225</v>
      </c>
      <c r="D64" s="7" t="s">
        <v>314</v>
      </c>
      <c r="E64" s="7" t="s">
        <v>242</v>
      </c>
      <c r="F64" s="9" t="s">
        <v>315</v>
      </c>
    </row>
    <row r="65" customFormat="false" ht="19.5" hidden="false" customHeight="true" outlineLevel="0" collapsed="false">
      <c r="A65" s="14" t="s">
        <v>316</v>
      </c>
      <c r="B65" s="15"/>
      <c r="C65" s="15"/>
      <c r="D65" s="15"/>
      <c r="E65" s="15"/>
      <c r="F65" s="15"/>
    </row>
    <row r="66" customFormat="false" ht="18" hidden="false" customHeight="true" outlineLevel="0" collapsed="false">
      <c r="A66" s="5" t="s">
        <v>192</v>
      </c>
      <c r="B66" s="5" t="s">
        <v>193</v>
      </c>
      <c r="C66" s="5" t="s">
        <v>194</v>
      </c>
      <c r="D66" s="5" t="s">
        <v>195</v>
      </c>
      <c r="E66" s="5" t="s">
        <v>196</v>
      </c>
      <c r="F66" s="5" t="s">
        <v>197</v>
      </c>
    </row>
    <row r="67" customFormat="false" ht="84" hidden="false" customHeight="true" outlineLevel="0" collapsed="false">
      <c r="A67" s="28" t="s">
        <v>317</v>
      </c>
      <c r="B67" s="39" t="s">
        <v>20</v>
      </c>
      <c r="C67" s="7" t="s">
        <v>225</v>
      </c>
      <c r="D67" s="7" t="s">
        <v>241</v>
      </c>
      <c r="E67" s="7" t="s">
        <v>280</v>
      </c>
      <c r="F67" s="9" t="s">
        <v>318</v>
      </c>
    </row>
    <row r="68" customFormat="false" ht="31.5" hidden="false" customHeight="true" outlineLevel="0" collapsed="false">
      <c r="A68" s="28" t="s">
        <v>319</v>
      </c>
      <c r="B68" s="39" t="s">
        <v>320</v>
      </c>
      <c r="C68" s="7" t="s">
        <v>225</v>
      </c>
      <c r="D68" s="7" t="s">
        <v>241</v>
      </c>
      <c r="E68" s="7" t="s">
        <v>280</v>
      </c>
      <c r="F68" s="9" t="s">
        <v>321</v>
      </c>
    </row>
    <row r="69" customFormat="false" ht="19.5" hidden="false" customHeight="true" outlineLevel="0" collapsed="false">
      <c r="A69" s="14" t="s">
        <v>322</v>
      </c>
      <c r="B69" s="15"/>
      <c r="C69" s="15"/>
      <c r="D69" s="15"/>
      <c r="E69" s="15"/>
      <c r="F69" s="15"/>
    </row>
    <row r="70" customFormat="false" ht="18" hidden="false" customHeight="true" outlineLevel="0" collapsed="false">
      <c r="A70" s="5" t="s">
        <v>192</v>
      </c>
      <c r="B70" s="5" t="s">
        <v>193</v>
      </c>
      <c r="C70" s="5" t="s">
        <v>194</v>
      </c>
      <c r="D70" s="5" t="s">
        <v>195</v>
      </c>
      <c r="E70" s="5" t="s">
        <v>196</v>
      </c>
      <c r="F70" s="5" t="s">
        <v>197</v>
      </c>
    </row>
    <row r="71" customFormat="false" ht="18.75" hidden="false" customHeight="true" outlineLevel="0" collapsed="false">
      <c r="A71" s="28" t="s">
        <v>323</v>
      </c>
      <c r="B71" s="39" t="s">
        <v>324</v>
      </c>
      <c r="C71" s="7" t="s">
        <v>225</v>
      </c>
      <c r="D71" s="7" t="s">
        <v>236</v>
      </c>
      <c r="E71" s="7" t="s">
        <v>325</v>
      </c>
      <c r="F71" s="9" t="s">
        <v>326</v>
      </c>
    </row>
    <row r="72" customFormat="false" ht="31.5" hidden="false" customHeight="true" outlineLevel="0" collapsed="false">
      <c r="A72" s="28" t="s">
        <v>327</v>
      </c>
      <c r="B72" s="39" t="s">
        <v>328</v>
      </c>
      <c r="C72" s="7" t="s">
        <v>225</v>
      </c>
      <c r="D72" s="7" t="s">
        <v>236</v>
      </c>
      <c r="E72" s="7" t="s">
        <v>325</v>
      </c>
      <c r="F72" s="9" t="s">
        <v>329</v>
      </c>
    </row>
    <row r="73" customFormat="false" ht="19.5" hidden="false" customHeight="true" outlineLevel="0" collapsed="false">
      <c r="A73" s="14" t="s">
        <v>330</v>
      </c>
      <c r="B73" s="15"/>
      <c r="C73" s="15"/>
      <c r="D73" s="15"/>
      <c r="E73" s="15"/>
      <c r="F73" s="15"/>
    </row>
    <row r="74" customFormat="false" ht="18" hidden="false" customHeight="true" outlineLevel="0" collapsed="false">
      <c r="A74" s="5" t="s">
        <v>192</v>
      </c>
      <c r="B74" s="5" t="s">
        <v>193</v>
      </c>
      <c r="C74" s="5" t="s">
        <v>194</v>
      </c>
      <c r="D74" s="5" t="s">
        <v>195</v>
      </c>
      <c r="E74" s="5" t="s">
        <v>196</v>
      </c>
      <c r="F74" s="5" t="s">
        <v>197</v>
      </c>
    </row>
    <row r="75" customFormat="false" ht="45" hidden="false" customHeight="true" outlineLevel="0" collapsed="false">
      <c r="A75" s="28" t="s">
        <v>331</v>
      </c>
      <c r="B75" s="39" t="s">
        <v>332</v>
      </c>
      <c r="C75" s="7" t="s">
        <v>225</v>
      </c>
      <c r="D75" s="7" t="s">
        <v>236</v>
      </c>
      <c r="E75" s="7" t="s">
        <v>227</v>
      </c>
      <c r="F75" s="9" t="s">
        <v>333</v>
      </c>
    </row>
    <row r="76" customFormat="false" ht="31.5" hidden="false" customHeight="true" outlineLevel="0" collapsed="false">
      <c r="A76" s="28" t="s">
        <v>334</v>
      </c>
      <c r="B76" s="39" t="s">
        <v>335</v>
      </c>
      <c r="C76" s="7" t="s">
        <v>279</v>
      </c>
      <c r="D76" s="7" t="s">
        <v>336</v>
      </c>
      <c r="E76" s="7" t="s">
        <v>336</v>
      </c>
      <c r="F76" s="9" t="s">
        <v>337</v>
      </c>
    </row>
    <row r="77" customFormat="false" ht="12" hidden="false" customHeight="true" outlineLevel="0" collapsed="false"/>
    <row r="78" customFormat="false" ht="24" hidden="false" customHeight="true" outlineLevel="0" collapsed="false">
      <c r="A78" s="38" t="s">
        <v>338</v>
      </c>
      <c r="B78" s="38"/>
      <c r="C78" s="38"/>
      <c r="D78" s="38"/>
      <c r="E78" s="38"/>
      <c r="F78" s="38"/>
    </row>
    <row r="79" customFormat="false" ht="31.5" hidden="false" customHeight="true" outlineLevel="0" collapsed="false">
      <c r="A79" s="13" t="s">
        <v>339</v>
      </c>
      <c r="B79" s="13"/>
      <c r="C79" s="13"/>
      <c r="D79" s="13"/>
      <c r="E79" s="13"/>
      <c r="F79" s="13"/>
    </row>
    <row r="80" customFormat="false" ht="12" hidden="false" customHeight="true" outlineLevel="0" collapsed="false"/>
    <row r="81" customFormat="false" ht="24" hidden="false" customHeight="true" outlineLevel="0" collapsed="false">
      <c r="A81" s="38" t="s">
        <v>340</v>
      </c>
      <c r="B81" s="38"/>
      <c r="C81" s="38"/>
      <c r="D81" s="38"/>
      <c r="E81" s="38"/>
      <c r="F81" s="38"/>
    </row>
    <row r="82" customFormat="false" ht="31.5" hidden="false" customHeight="true" outlineLevel="0" collapsed="false">
      <c r="A82" s="13" t="s">
        <v>341</v>
      </c>
      <c r="B82" s="13"/>
      <c r="C82" s="13"/>
      <c r="D82" s="13"/>
      <c r="E82" s="13"/>
      <c r="F82" s="13"/>
    </row>
    <row r="83" customFormat="false" ht="19.5" hidden="false" customHeight="true" outlineLevel="0" collapsed="false">
      <c r="A83" s="14" t="s">
        <v>295</v>
      </c>
      <c r="B83" s="15"/>
      <c r="C83" s="15"/>
      <c r="D83" s="15"/>
      <c r="E83" s="15"/>
      <c r="F83" s="15"/>
    </row>
    <row r="84" customFormat="false" ht="18" hidden="false" customHeight="true" outlineLevel="0" collapsed="false">
      <c r="A84" s="5" t="s">
        <v>192</v>
      </c>
      <c r="B84" s="5" t="s">
        <v>193</v>
      </c>
      <c r="C84" s="5" t="s">
        <v>194</v>
      </c>
      <c r="D84" s="5" t="s">
        <v>195</v>
      </c>
      <c r="E84" s="5" t="s">
        <v>196</v>
      </c>
      <c r="F84" s="5" t="s">
        <v>197</v>
      </c>
    </row>
    <row r="85" customFormat="false" ht="18.75" hidden="false" customHeight="true" outlineLevel="0" collapsed="false">
      <c r="A85" s="28" t="s">
        <v>260</v>
      </c>
      <c r="B85" s="39" t="s">
        <v>261</v>
      </c>
      <c r="C85" s="7" t="s">
        <v>200</v>
      </c>
      <c r="D85" s="7" t="s">
        <v>342</v>
      </c>
      <c r="E85" s="7" t="s">
        <v>31</v>
      </c>
      <c r="F85" s="9" t="s">
        <v>343</v>
      </c>
    </row>
    <row r="86" customFormat="false" ht="31.5" hidden="false" customHeight="true" outlineLevel="0" collapsed="false">
      <c r="A86" s="28" t="s">
        <v>256</v>
      </c>
      <c r="B86" s="39" t="s">
        <v>257</v>
      </c>
      <c r="C86" s="7" t="s">
        <v>200</v>
      </c>
      <c r="D86" s="7" t="s">
        <v>258</v>
      </c>
      <c r="E86" s="7" t="s">
        <v>31</v>
      </c>
      <c r="F86" s="9" t="s">
        <v>344</v>
      </c>
    </row>
    <row r="87" customFormat="false" ht="18.75" hidden="false" customHeight="true" outlineLevel="0" collapsed="false">
      <c r="A87" s="28" t="s">
        <v>203</v>
      </c>
      <c r="B87" s="39" t="s">
        <v>204</v>
      </c>
      <c r="C87" s="7" t="s">
        <v>200</v>
      </c>
      <c r="D87" s="7" t="s">
        <v>345</v>
      </c>
      <c r="E87" s="7" t="s">
        <v>31</v>
      </c>
      <c r="F87" s="9" t="s">
        <v>346</v>
      </c>
    </row>
    <row r="88" customFormat="false" ht="19.5" hidden="false" customHeight="true" outlineLevel="0" collapsed="false">
      <c r="A88" s="14" t="s">
        <v>347</v>
      </c>
      <c r="B88" s="15"/>
      <c r="C88" s="15"/>
      <c r="D88" s="15"/>
      <c r="E88" s="15"/>
      <c r="F88" s="15"/>
    </row>
    <row r="89" customFormat="false" ht="18" hidden="false" customHeight="true" outlineLevel="0" collapsed="false">
      <c r="A89" s="5" t="s">
        <v>192</v>
      </c>
      <c r="B89" s="5" t="s">
        <v>193</v>
      </c>
      <c r="C89" s="5" t="s">
        <v>194</v>
      </c>
      <c r="D89" s="5" t="s">
        <v>195</v>
      </c>
      <c r="E89" s="5" t="s">
        <v>196</v>
      </c>
      <c r="F89" s="5" t="s">
        <v>197</v>
      </c>
    </row>
    <row r="90" customFormat="false" ht="57.75" hidden="false" customHeight="true" outlineLevel="0" collapsed="false">
      <c r="A90" s="28" t="s">
        <v>348</v>
      </c>
      <c r="B90" s="39" t="s">
        <v>349</v>
      </c>
      <c r="C90" s="7" t="s">
        <v>218</v>
      </c>
      <c r="D90" s="7" t="s">
        <v>219</v>
      </c>
      <c r="E90" s="7" t="s">
        <v>220</v>
      </c>
      <c r="F90" s="9" t="s">
        <v>350</v>
      </c>
    </row>
    <row r="91" customFormat="false" ht="19.5" hidden="false" customHeight="true" outlineLevel="0" collapsed="false">
      <c r="A91" s="14" t="s">
        <v>351</v>
      </c>
      <c r="B91" s="15"/>
      <c r="C91" s="15"/>
      <c r="D91" s="15"/>
      <c r="E91" s="15"/>
      <c r="F91" s="15"/>
    </row>
    <row r="92" customFormat="false" ht="18" hidden="false" customHeight="true" outlineLevel="0" collapsed="false">
      <c r="A92" s="5" t="s">
        <v>192</v>
      </c>
      <c r="B92" s="5" t="s">
        <v>193</v>
      </c>
      <c r="C92" s="5" t="s">
        <v>194</v>
      </c>
      <c r="D92" s="5" t="s">
        <v>195</v>
      </c>
      <c r="E92" s="5" t="s">
        <v>196</v>
      </c>
      <c r="F92" s="5" t="s">
        <v>197</v>
      </c>
    </row>
    <row r="93" customFormat="false" ht="45" hidden="false" customHeight="true" outlineLevel="0" collapsed="false">
      <c r="A93" s="28" t="s">
        <v>352</v>
      </c>
      <c r="B93" s="39" t="s">
        <v>353</v>
      </c>
      <c r="C93" s="7" t="s">
        <v>225</v>
      </c>
      <c r="D93" s="7" t="s">
        <v>231</v>
      </c>
      <c r="E93" s="7" t="s">
        <v>232</v>
      </c>
      <c r="F93" s="9" t="s">
        <v>354</v>
      </c>
    </row>
    <row r="94" customFormat="false" ht="19.5" hidden="false" customHeight="true" outlineLevel="0" collapsed="false">
      <c r="A94" s="14" t="s">
        <v>355</v>
      </c>
      <c r="B94" s="15"/>
      <c r="C94" s="15"/>
      <c r="D94" s="15"/>
      <c r="E94" s="15"/>
      <c r="F94" s="15"/>
    </row>
    <row r="95" customFormat="false" ht="18" hidden="false" customHeight="true" outlineLevel="0" collapsed="false">
      <c r="A95" s="5" t="s">
        <v>192</v>
      </c>
      <c r="B95" s="5" t="s">
        <v>193</v>
      </c>
      <c r="C95" s="5" t="s">
        <v>194</v>
      </c>
      <c r="D95" s="5" t="s">
        <v>195</v>
      </c>
      <c r="E95" s="5" t="s">
        <v>196</v>
      </c>
      <c r="F95" s="5" t="s">
        <v>197</v>
      </c>
    </row>
    <row r="96" customFormat="false" ht="45" hidden="false" customHeight="true" outlineLevel="0" collapsed="false">
      <c r="A96" s="28" t="s">
        <v>356</v>
      </c>
      <c r="B96" s="39" t="s">
        <v>357</v>
      </c>
      <c r="C96" s="7" t="s">
        <v>225</v>
      </c>
      <c r="D96" s="7" t="s">
        <v>241</v>
      </c>
      <c r="E96" s="7" t="s">
        <v>232</v>
      </c>
      <c r="F96" s="9" t="s">
        <v>358</v>
      </c>
    </row>
    <row r="97" customFormat="false" ht="19.5" hidden="false" customHeight="true" outlineLevel="0" collapsed="false">
      <c r="A97" s="14" t="s">
        <v>359</v>
      </c>
      <c r="B97" s="15"/>
      <c r="C97" s="15"/>
      <c r="D97" s="15"/>
      <c r="E97" s="15"/>
      <c r="F97" s="15"/>
    </row>
    <row r="98" customFormat="false" ht="18" hidden="false" customHeight="true" outlineLevel="0" collapsed="false">
      <c r="A98" s="5" t="s">
        <v>192</v>
      </c>
      <c r="B98" s="5" t="s">
        <v>193</v>
      </c>
      <c r="C98" s="5" t="s">
        <v>194</v>
      </c>
      <c r="D98" s="5" t="s">
        <v>195</v>
      </c>
      <c r="E98" s="5" t="s">
        <v>196</v>
      </c>
      <c r="F98" s="5" t="s">
        <v>197</v>
      </c>
    </row>
    <row r="99" customFormat="false" ht="31.5" hidden="false" customHeight="true" outlineLevel="0" collapsed="false">
      <c r="A99" s="28" t="s">
        <v>223</v>
      </c>
      <c r="B99" s="39" t="s">
        <v>224</v>
      </c>
      <c r="C99" s="7" t="s">
        <v>225</v>
      </c>
      <c r="D99" s="7" t="s">
        <v>226</v>
      </c>
      <c r="E99" s="7" t="s">
        <v>280</v>
      </c>
      <c r="F99" s="9" t="s">
        <v>360</v>
      </c>
    </row>
    <row r="100" customFormat="false" ht="31.5" hidden="false" customHeight="true" outlineLevel="0" collapsed="false">
      <c r="A100" s="28" t="s">
        <v>282</v>
      </c>
      <c r="B100" s="39" t="s">
        <v>199</v>
      </c>
      <c r="C100" s="7" t="s">
        <v>279</v>
      </c>
      <c r="D100" s="7" t="s">
        <v>258</v>
      </c>
      <c r="E100" s="7" t="s">
        <v>280</v>
      </c>
      <c r="F100" s="9" t="s">
        <v>361</v>
      </c>
    </row>
    <row r="101" customFormat="false" ht="19.5" hidden="false" customHeight="true" outlineLevel="0" collapsed="false">
      <c r="A101" s="14" t="s">
        <v>362</v>
      </c>
      <c r="B101" s="15"/>
      <c r="C101" s="15"/>
      <c r="D101" s="15"/>
      <c r="E101" s="15"/>
      <c r="F101" s="15"/>
    </row>
    <row r="102" customFormat="false" ht="18" hidden="false" customHeight="true" outlineLevel="0" collapsed="false">
      <c r="A102" s="5" t="s">
        <v>192</v>
      </c>
      <c r="B102" s="5" t="s">
        <v>193</v>
      </c>
      <c r="C102" s="5" t="s">
        <v>194</v>
      </c>
      <c r="D102" s="5" t="s">
        <v>195</v>
      </c>
      <c r="E102" s="5" t="s">
        <v>196</v>
      </c>
      <c r="F102" s="5" t="s">
        <v>197</v>
      </c>
    </row>
    <row r="103" customFormat="false" ht="31.5" hidden="false" customHeight="true" outlineLevel="0" collapsed="false">
      <c r="A103" s="28" t="s">
        <v>363</v>
      </c>
      <c r="B103" s="39" t="s">
        <v>364</v>
      </c>
      <c r="C103" s="7" t="s">
        <v>225</v>
      </c>
      <c r="D103" s="7" t="s">
        <v>241</v>
      </c>
      <c r="E103" s="7" t="s">
        <v>280</v>
      </c>
      <c r="F103" s="9" t="s">
        <v>365</v>
      </c>
    </row>
    <row r="104" customFormat="false" ht="31.5" hidden="false" customHeight="true" outlineLevel="0" collapsed="false">
      <c r="A104" s="28" t="s">
        <v>244</v>
      </c>
      <c r="B104" s="39" t="s">
        <v>16</v>
      </c>
      <c r="C104" s="7" t="s">
        <v>279</v>
      </c>
      <c r="D104" s="7" t="s">
        <v>236</v>
      </c>
      <c r="E104" s="7" t="s">
        <v>280</v>
      </c>
      <c r="F104" s="9" t="s">
        <v>366</v>
      </c>
    </row>
    <row r="105" customFormat="false" ht="12" hidden="false" customHeight="true" outlineLevel="0" collapsed="false"/>
    <row r="106" customFormat="false" ht="24" hidden="false" customHeight="true" outlineLevel="0" collapsed="false">
      <c r="A106" s="38" t="s">
        <v>367</v>
      </c>
      <c r="B106" s="38"/>
      <c r="C106" s="38"/>
      <c r="D106" s="38"/>
      <c r="E106" s="38"/>
      <c r="F106" s="38"/>
    </row>
    <row r="107" customFormat="false" ht="18.75" hidden="false" customHeight="true" outlineLevel="0" collapsed="false">
      <c r="A107" s="13" t="s">
        <v>368</v>
      </c>
      <c r="B107" s="13"/>
      <c r="C107" s="13"/>
      <c r="D107" s="13"/>
      <c r="E107" s="13"/>
      <c r="F107" s="13"/>
    </row>
    <row r="108" customFormat="false" ht="19.5" hidden="false" customHeight="true" outlineLevel="0" collapsed="false">
      <c r="A108" s="14" t="s">
        <v>295</v>
      </c>
      <c r="B108" s="15"/>
      <c r="C108" s="15"/>
      <c r="D108" s="15"/>
      <c r="E108" s="15"/>
      <c r="F108" s="15"/>
    </row>
    <row r="109" customFormat="false" ht="18" hidden="false" customHeight="true" outlineLevel="0" collapsed="false">
      <c r="A109" s="5" t="s">
        <v>192</v>
      </c>
      <c r="B109" s="5" t="s">
        <v>193</v>
      </c>
      <c r="C109" s="5" t="s">
        <v>194</v>
      </c>
      <c r="D109" s="5" t="s">
        <v>195</v>
      </c>
      <c r="E109" s="5" t="s">
        <v>196</v>
      </c>
      <c r="F109" s="5" t="s">
        <v>197</v>
      </c>
    </row>
    <row r="110" customFormat="false" ht="18.75" hidden="false" customHeight="true" outlineLevel="0" collapsed="false">
      <c r="A110" s="28" t="s">
        <v>296</v>
      </c>
      <c r="B110" s="39" t="s">
        <v>297</v>
      </c>
      <c r="C110" s="7" t="s">
        <v>200</v>
      </c>
      <c r="D110" s="7" t="s">
        <v>298</v>
      </c>
      <c r="E110" s="7" t="s">
        <v>31</v>
      </c>
      <c r="F110" s="9" t="s">
        <v>369</v>
      </c>
    </row>
    <row r="111" customFormat="false" ht="31.5" hidden="false" customHeight="true" outlineLevel="0" collapsed="false">
      <c r="A111" s="28" t="s">
        <v>370</v>
      </c>
      <c r="B111" s="39" t="s">
        <v>371</v>
      </c>
      <c r="C111" s="7" t="s">
        <v>200</v>
      </c>
      <c r="D111" s="7" t="s">
        <v>302</v>
      </c>
      <c r="E111" s="7" t="s">
        <v>31</v>
      </c>
      <c r="F111" s="9" t="s">
        <v>372</v>
      </c>
    </row>
    <row r="112" customFormat="false" ht="18.75" hidden="false" customHeight="true" outlineLevel="0" collapsed="false">
      <c r="A112" s="28" t="s">
        <v>373</v>
      </c>
      <c r="B112" s="39" t="s">
        <v>374</v>
      </c>
      <c r="C112" s="7" t="s">
        <v>200</v>
      </c>
      <c r="D112" s="7" t="s">
        <v>258</v>
      </c>
      <c r="E112" s="7" t="s">
        <v>31</v>
      </c>
      <c r="F112" s="9" t="s">
        <v>375</v>
      </c>
    </row>
    <row r="113" customFormat="false" ht="19.5" hidden="false" customHeight="true" outlineLevel="0" collapsed="false">
      <c r="A113" s="14" t="s">
        <v>376</v>
      </c>
      <c r="B113" s="15"/>
      <c r="C113" s="15"/>
      <c r="D113" s="15"/>
      <c r="E113" s="15"/>
      <c r="F113" s="15"/>
    </row>
    <row r="114" customFormat="false" ht="18" hidden="false" customHeight="true" outlineLevel="0" collapsed="false">
      <c r="A114" s="5" t="s">
        <v>192</v>
      </c>
      <c r="B114" s="5" t="s">
        <v>193</v>
      </c>
      <c r="C114" s="5" t="s">
        <v>194</v>
      </c>
      <c r="D114" s="5" t="s">
        <v>195</v>
      </c>
      <c r="E114" s="5" t="s">
        <v>196</v>
      </c>
      <c r="F114" s="5" t="s">
        <v>197</v>
      </c>
    </row>
    <row r="115" customFormat="false" ht="45" hidden="false" customHeight="true" outlineLevel="0" collapsed="false">
      <c r="A115" s="28" t="s">
        <v>377</v>
      </c>
      <c r="B115" s="39" t="s">
        <v>378</v>
      </c>
      <c r="C115" s="7" t="s">
        <v>218</v>
      </c>
      <c r="D115" s="7" t="s">
        <v>219</v>
      </c>
      <c r="E115" s="7" t="s">
        <v>220</v>
      </c>
      <c r="F115" s="9" t="s">
        <v>379</v>
      </c>
    </row>
    <row r="116" customFormat="false" ht="19.5" hidden="false" customHeight="true" outlineLevel="0" collapsed="false">
      <c r="A116" s="14" t="s">
        <v>380</v>
      </c>
      <c r="B116" s="15"/>
      <c r="C116" s="15"/>
      <c r="D116" s="15"/>
      <c r="E116" s="15"/>
      <c r="F116" s="15"/>
    </row>
    <row r="117" customFormat="false" ht="18" hidden="false" customHeight="true" outlineLevel="0" collapsed="false">
      <c r="A117" s="5" t="s">
        <v>192</v>
      </c>
      <c r="B117" s="5" t="s">
        <v>193</v>
      </c>
      <c r="C117" s="5" t="s">
        <v>194</v>
      </c>
      <c r="D117" s="5" t="s">
        <v>195</v>
      </c>
      <c r="E117" s="5" t="s">
        <v>196</v>
      </c>
      <c r="F117" s="5" t="s">
        <v>197</v>
      </c>
    </row>
    <row r="118" customFormat="false" ht="57.75" hidden="false" customHeight="true" outlineLevel="0" collapsed="false">
      <c r="A118" s="28" t="s">
        <v>381</v>
      </c>
      <c r="B118" s="39" t="s">
        <v>382</v>
      </c>
      <c r="C118" s="7" t="s">
        <v>225</v>
      </c>
      <c r="D118" s="7" t="s">
        <v>383</v>
      </c>
      <c r="E118" s="7" t="s">
        <v>384</v>
      </c>
      <c r="F118" s="9" t="s">
        <v>385</v>
      </c>
    </row>
    <row r="119" customFormat="false" ht="19.5" hidden="false" customHeight="true" outlineLevel="0" collapsed="false">
      <c r="A119" s="14" t="s">
        <v>386</v>
      </c>
      <c r="B119" s="15"/>
      <c r="C119" s="15"/>
      <c r="D119" s="15"/>
      <c r="E119" s="15"/>
      <c r="F119" s="15"/>
    </row>
    <row r="120" customFormat="false" ht="18" hidden="false" customHeight="true" outlineLevel="0" collapsed="false">
      <c r="A120" s="5" t="s">
        <v>192</v>
      </c>
      <c r="B120" s="5" t="s">
        <v>193</v>
      </c>
      <c r="C120" s="5" t="s">
        <v>194</v>
      </c>
      <c r="D120" s="5" t="s">
        <v>195</v>
      </c>
      <c r="E120" s="5" t="s">
        <v>196</v>
      </c>
      <c r="F120" s="5" t="s">
        <v>197</v>
      </c>
    </row>
    <row r="121" customFormat="false" ht="18.75" hidden="false" customHeight="true" outlineLevel="0" collapsed="false">
      <c r="A121" s="28" t="s">
        <v>387</v>
      </c>
      <c r="B121" s="39" t="s">
        <v>388</v>
      </c>
      <c r="C121" s="7" t="s">
        <v>225</v>
      </c>
      <c r="D121" s="7" t="s">
        <v>241</v>
      </c>
      <c r="E121" s="7" t="s">
        <v>232</v>
      </c>
      <c r="F121" s="9" t="s">
        <v>389</v>
      </c>
    </row>
    <row r="122" customFormat="false" ht="18.75" hidden="false" customHeight="true" outlineLevel="0" collapsed="false">
      <c r="A122" s="28" t="s">
        <v>319</v>
      </c>
      <c r="B122" s="39" t="s">
        <v>320</v>
      </c>
      <c r="C122" s="7" t="s">
        <v>225</v>
      </c>
      <c r="D122" s="7" t="s">
        <v>241</v>
      </c>
      <c r="E122" s="7" t="s">
        <v>227</v>
      </c>
      <c r="F122" s="9" t="s">
        <v>390</v>
      </c>
    </row>
    <row r="123" customFormat="false" ht="31.5" hidden="false" customHeight="true" outlineLevel="0" collapsed="false">
      <c r="A123" s="28" t="s">
        <v>391</v>
      </c>
      <c r="B123" s="39" t="s">
        <v>392</v>
      </c>
      <c r="C123" s="7" t="s">
        <v>225</v>
      </c>
      <c r="D123" s="7" t="s">
        <v>393</v>
      </c>
      <c r="E123" s="7" t="s">
        <v>242</v>
      </c>
      <c r="F123" s="9" t="s">
        <v>394</v>
      </c>
    </row>
    <row r="124" customFormat="false" ht="19.5" hidden="false" customHeight="true" outlineLevel="0" collapsed="false">
      <c r="A124" s="14" t="s">
        <v>395</v>
      </c>
      <c r="B124" s="15"/>
      <c r="C124" s="15"/>
      <c r="D124" s="15"/>
      <c r="E124" s="15"/>
      <c r="F124" s="15"/>
    </row>
    <row r="125" customFormat="false" ht="18" hidden="false" customHeight="true" outlineLevel="0" collapsed="false">
      <c r="A125" s="5" t="s">
        <v>192</v>
      </c>
      <c r="B125" s="5" t="s">
        <v>193</v>
      </c>
      <c r="C125" s="5" t="s">
        <v>194</v>
      </c>
      <c r="D125" s="5" t="s">
        <v>195</v>
      </c>
      <c r="E125" s="5" t="s">
        <v>196</v>
      </c>
      <c r="F125" s="5" t="s">
        <v>197</v>
      </c>
    </row>
    <row r="126" customFormat="false" ht="18.75" hidden="false" customHeight="true" outlineLevel="0" collapsed="false">
      <c r="A126" s="28" t="s">
        <v>396</v>
      </c>
      <c r="B126" s="39" t="s">
        <v>397</v>
      </c>
      <c r="C126" s="7" t="s">
        <v>279</v>
      </c>
      <c r="D126" s="7" t="s">
        <v>236</v>
      </c>
      <c r="E126" s="7" t="s">
        <v>325</v>
      </c>
      <c r="F126" s="9" t="s">
        <v>398</v>
      </c>
    </row>
    <row r="127" customFormat="false" ht="18.75" hidden="false" customHeight="true" outlineLevel="0" collapsed="false">
      <c r="A127" s="28" t="s">
        <v>399</v>
      </c>
      <c r="B127" s="39" t="s">
        <v>400</v>
      </c>
      <c r="C127" s="7" t="s">
        <v>279</v>
      </c>
      <c r="D127" s="7" t="s">
        <v>236</v>
      </c>
      <c r="E127" s="7" t="s">
        <v>325</v>
      </c>
      <c r="F127" s="9" t="s">
        <v>401</v>
      </c>
    </row>
    <row r="128" customFormat="false" ht="31.5" hidden="false" customHeight="true" outlineLevel="0" collapsed="false">
      <c r="A128" s="28" t="s">
        <v>402</v>
      </c>
      <c r="B128" s="39" t="s">
        <v>403</v>
      </c>
      <c r="C128" s="7" t="s">
        <v>279</v>
      </c>
      <c r="D128" s="7" t="s">
        <v>236</v>
      </c>
      <c r="E128" s="7" t="s">
        <v>404</v>
      </c>
      <c r="F128" s="9" t="s">
        <v>405</v>
      </c>
    </row>
    <row r="129" customFormat="false" ht="12" hidden="false" customHeight="true" outlineLevel="0" collapsed="false"/>
    <row r="130" customFormat="false" ht="24" hidden="false" customHeight="true" outlineLevel="0" collapsed="false">
      <c r="A130" s="38" t="s">
        <v>406</v>
      </c>
      <c r="B130" s="38"/>
      <c r="C130" s="38"/>
      <c r="D130" s="38"/>
      <c r="E130" s="38"/>
      <c r="F130" s="38"/>
    </row>
    <row r="131" customFormat="false" ht="18.75" hidden="false" customHeight="true" outlineLevel="0" collapsed="false">
      <c r="A131" s="13" t="s">
        <v>407</v>
      </c>
      <c r="B131" s="13"/>
      <c r="C131" s="13"/>
      <c r="D131" s="13"/>
      <c r="E131" s="13"/>
      <c r="F131" s="13"/>
    </row>
    <row r="132" customFormat="false" ht="18.75" hidden="false" customHeight="true" outlineLevel="0" collapsed="false">
      <c r="A132" s="28" t="s">
        <v>408</v>
      </c>
      <c r="C132" s="7"/>
      <c r="D132" s="7"/>
      <c r="E132" s="7"/>
      <c r="F132" s="9"/>
    </row>
    <row r="133" customFormat="false" ht="18" hidden="false" customHeight="true" outlineLevel="0" collapsed="false">
      <c r="A133" s="5" t="s">
        <v>192</v>
      </c>
      <c r="B133" s="5" t="s">
        <v>193</v>
      </c>
      <c r="C133" s="5" t="s">
        <v>194</v>
      </c>
      <c r="D133" s="5" t="s">
        <v>195</v>
      </c>
      <c r="E133" s="5" t="s">
        <v>196</v>
      </c>
      <c r="F133" s="5" t="s">
        <v>197</v>
      </c>
    </row>
    <row r="134" customFormat="false" ht="31.5" hidden="false" customHeight="true" outlineLevel="0" collapsed="false">
      <c r="A134" s="28" t="s">
        <v>409</v>
      </c>
      <c r="B134" s="39" t="s">
        <v>410</v>
      </c>
      <c r="C134" s="7" t="s">
        <v>279</v>
      </c>
      <c r="D134" s="7" t="s">
        <v>306</v>
      </c>
      <c r="E134" s="7" t="s">
        <v>31</v>
      </c>
      <c r="F134" s="9" t="s">
        <v>411</v>
      </c>
    </row>
    <row r="135" customFormat="false" ht="18.75" hidden="false" customHeight="true" outlineLevel="0" collapsed="false">
      <c r="A135" s="28" t="s">
        <v>412</v>
      </c>
      <c r="B135" s="39" t="s">
        <v>413</v>
      </c>
      <c r="C135" s="7" t="s">
        <v>279</v>
      </c>
      <c r="D135" s="7" t="s">
        <v>414</v>
      </c>
      <c r="E135" s="7" t="s">
        <v>31</v>
      </c>
      <c r="F135" s="9" t="s">
        <v>415</v>
      </c>
    </row>
    <row r="136" customFormat="false" ht="18.75" hidden="false" customHeight="true" outlineLevel="0" collapsed="false">
      <c r="A136" s="28" t="s">
        <v>416</v>
      </c>
      <c r="B136" s="39" t="s">
        <v>417</v>
      </c>
      <c r="C136" s="7" t="s">
        <v>200</v>
      </c>
      <c r="D136" s="7" t="s">
        <v>258</v>
      </c>
      <c r="E136" s="7" t="s">
        <v>31</v>
      </c>
      <c r="F136" s="9" t="s">
        <v>418</v>
      </c>
    </row>
    <row r="137" customFormat="false" ht="31.5" hidden="false" customHeight="true" outlineLevel="0" collapsed="false">
      <c r="A137" s="28" t="s">
        <v>419</v>
      </c>
      <c r="B137" s="39" t="s">
        <v>410</v>
      </c>
      <c r="C137" s="7" t="s">
        <v>31</v>
      </c>
      <c r="D137" s="7" t="s">
        <v>220</v>
      </c>
      <c r="E137" s="7" t="s">
        <v>31</v>
      </c>
      <c r="F137" s="9" t="s">
        <v>420</v>
      </c>
    </row>
    <row r="138" customFormat="false" ht="31.5" hidden="false" customHeight="true" outlineLevel="0" collapsed="false">
      <c r="A138" s="28" t="s">
        <v>421</v>
      </c>
      <c r="B138" s="39" t="s">
        <v>290</v>
      </c>
      <c r="C138" s="7" t="s">
        <v>31</v>
      </c>
      <c r="D138" s="7" t="s">
        <v>422</v>
      </c>
      <c r="E138" s="7" t="s">
        <v>31</v>
      </c>
      <c r="F138" s="9" t="s">
        <v>423</v>
      </c>
    </row>
    <row r="139" customFormat="false" ht="18.75" hidden="false" customHeight="true" outlineLevel="0" collapsed="false">
      <c r="A139" s="28" t="s">
        <v>424</v>
      </c>
      <c r="B139" s="39" t="s">
        <v>425</v>
      </c>
      <c r="C139" s="7" t="s">
        <v>31</v>
      </c>
      <c r="D139" s="7" t="s">
        <v>422</v>
      </c>
      <c r="E139" s="7" t="s">
        <v>31</v>
      </c>
      <c r="F139" s="9" t="s">
        <v>426</v>
      </c>
    </row>
    <row r="140" customFormat="false" ht="12" hidden="false" customHeight="true" outlineLevel="0" collapsed="false"/>
  </sheetData>
  <mergeCells count="14">
    <mergeCell ref="A1:F1"/>
    <mergeCell ref="A2:F2"/>
    <mergeCell ref="A27:F27"/>
    <mergeCell ref="A28:F28"/>
    <mergeCell ref="A52:F52"/>
    <mergeCell ref="A53:F53"/>
    <mergeCell ref="A78:F78"/>
    <mergeCell ref="A79:F79"/>
    <mergeCell ref="A81:F81"/>
    <mergeCell ref="A82:F82"/>
    <mergeCell ref="A106:F106"/>
    <mergeCell ref="A107:F107"/>
    <mergeCell ref="A130:F130"/>
    <mergeCell ref="A131:F1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6"/>
    <col collapsed="false" customWidth="true" hidden="false" outlineLevel="0" max="3" min="3" style="1" width="11"/>
    <col collapsed="false" customWidth="true" hidden="false" outlineLevel="0" max="4" min="4" style="1" width="12"/>
    <col collapsed="false" customWidth="true" hidden="false" outlineLevel="0" max="5" min="5" style="1" width="11"/>
    <col collapsed="false" customWidth="true" hidden="false" outlineLevel="0" max="6" min="6" style="1" width="10"/>
  </cols>
  <sheetData>
    <row r="1" customFormat="false" ht="25.5" hidden="false" customHeight="true" outlineLevel="0" collapsed="false">
      <c r="A1" s="42" t="s">
        <v>427</v>
      </c>
      <c r="B1" s="12"/>
      <c r="C1" s="12"/>
      <c r="D1" s="12"/>
      <c r="E1" s="12"/>
      <c r="F1" s="12"/>
    </row>
    <row r="2" customFormat="false" ht="57.75" hidden="false" customHeight="true" outlineLevel="0" collapsed="false">
      <c r="A2" s="19" t="s">
        <v>428</v>
      </c>
      <c r="B2" s="19"/>
      <c r="C2" s="19"/>
      <c r="D2" s="19"/>
      <c r="E2" s="19"/>
      <c r="F2" s="19"/>
    </row>
    <row r="4" customFormat="false" ht="19.5" hidden="false" customHeight="true" outlineLevel="0" collapsed="false">
      <c r="A4" s="14" t="s">
        <v>429</v>
      </c>
      <c r="B4" s="15"/>
      <c r="C4" s="15"/>
      <c r="D4" s="15"/>
      <c r="E4" s="15"/>
      <c r="F4" s="15"/>
    </row>
    <row r="5" customFormat="false" ht="30" hidden="false" customHeight="true" outlineLevel="0" collapsed="false">
      <c r="A5" s="13" t="s">
        <v>430</v>
      </c>
      <c r="B5" s="13"/>
      <c r="C5" s="13"/>
      <c r="D5" s="13"/>
      <c r="E5" s="13"/>
      <c r="F5" s="13"/>
    </row>
    <row r="6" customFormat="false" ht="18" hidden="false" customHeight="true" outlineLevel="0" collapsed="false">
      <c r="A6" s="5" t="s">
        <v>431</v>
      </c>
      <c r="B6" s="5" t="s">
        <v>432</v>
      </c>
      <c r="C6" s="5" t="s">
        <v>433</v>
      </c>
      <c r="D6" s="5" t="s">
        <v>434</v>
      </c>
      <c r="E6" s="5" t="s">
        <v>435</v>
      </c>
      <c r="F6" s="5" t="s">
        <v>436</v>
      </c>
    </row>
    <row r="7" customFormat="false" ht="15" hidden="false" customHeight="true" outlineLevel="0" collapsed="false">
      <c r="A7" s="23" t="s">
        <v>437</v>
      </c>
      <c r="B7" s="23" t="s">
        <v>438</v>
      </c>
      <c r="C7" s="7" t="n">
        <v>120</v>
      </c>
      <c r="D7" s="7" t="n">
        <v>24</v>
      </c>
      <c r="E7" s="7" t="n">
        <v>3</v>
      </c>
      <c r="F7" s="7" t="n">
        <v>1</v>
      </c>
    </row>
    <row r="8" customFormat="false" ht="15" hidden="false" customHeight="true" outlineLevel="0" collapsed="false">
      <c r="A8" s="23" t="s">
        <v>439</v>
      </c>
      <c r="B8" s="23" t="s">
        <v>440</v>
      </c>
      <c r="C8" s="7" t="n">
        <v>338</v>
      </c>
      <c r="D8" s="7" t="n">
        <v>12</v>
      </c>
      <c r="E8" s="7" t="n">
        <v>59</v>
      </c>
      <c r="F8" s="7" t="n">
        <v>6</v>
      </c>
    </row>
    <row r="9" customFormat="false" ht="15" hidden="false" customHeight="true" outlineLevel="0" collapsed="false">
      <c r="A9" s="23" t="s">
        <v>441</v>
      </c>
      <c r="B9" s="23" t="s">
        <v>442</v>
      </c>
      <c r="C9" s="7" t="n">
        <v>105</v>
      </c>
      <c r="D9" s="7" t="n">
        <v>1</v>
      </c>
      <c r="E9" s="7" t="n">
        <v>27</v>
      </c>
      <c r="F9" s="7" t="n">
        <v>0</v>
      </c>
    </row>
    <row r="10" customFormat="false" ht="15" hidden="false" customHeight="true" outlineLevel="0" collapsed="false">
      <c r="A10" s="43" t="s">
        <v>443</v>
      </c>
      <c r="B10" s="44"/>
      <c r="C10" s="45" t="n">
        <f aca="false">SUM(C7:C9)</f>
        <v>563</v>
      </c>
      <c r="D10" s="45" t="n">
        <f aca="false">SUM(D7:D9)</f>
        <v>37</v>
      </c>
      <c r="E10" s="45" t="n">
        <f aca="false">SUM(E7:E9)</f>
        <v>89</v>
      </c>
      <c r="F10" s="45" t="n">
        <f aca="false">SUM(F7:F9)</f>
        <v>7</v>
      </c>
    </row>
    <row r="12" customFormat="false" ht="19.5" hidden="false" customHeight="true" outlineLevel="0" collapsed="false">
      <c r="A12" s="14" t="s">
        <v>444</v>
      </c>
      <c r="B12" s="15"/>
      <c r="C12" s="15"/>
      <c r="D12" s="15"/>
      <c r="E12" s="15"/>
      <c r="F12" s="15"/>
    </row>
    <row r="13" customFormat="false" ht="30" hidden="false" customHeight="true" outlineLevel="0" collapsed="false">
      <c r="A13" s="46" t="s">
        <v>445</v>
      </c>
      <c r="B13" s="46"/>
      <c r="C13" s="46"/>
      <c r="D13" s="46"/>
      <c r="E13" s="46"/>
      <c r="F13" s="46"/>
    </row>
    <row r="14" customFormat="false" ht="18" hidden="false" customHeight="true" outlineLevel="0" collapsed="false">
      <c r="A14" s="5" t="s">
        <v>431</v>
      </c>
      <c r="B14" s="5" t="s">
        <v>432</v>
      </c>
      <c r="C14" s="5" t="s">
        <v>433</v>
      </c>
      <c r="D14" s="5" t="s">
        <v>434</v>
      </c>
      <c r="E14" s="5" t="s">
        <v>435</v>
      </c>
      <c r="F14" s="5" t="s">
        <v>436</v>
      </c>
    </row>
    <row r="15" customFormat="false" ht="15" hidden="false" customHeight="true" outlineLevel="0" collapsed="false">
      <c r="A15" s="47" t="s">
        <v>446</v>
      </c>
      <c r="B15" s="47" t="s">
        <v>447</v>
      </c>
      <c r="C15" s="48" t="n">
        <v>215</v>
      </c>
      <c r="D15" s="48" t="n">
        <v>41</v>
      </c>
      <c r="E15" s="48" t="n">
        <v>0</v>
      </c>
      <c r="F15" s="48" t="n">
        <v>4</v>
      </c>
    </row>
    <row r="16" customFormat="false" ht="15" hidden="false" customHeight="true" outlineLevel="0" collapsed="false">
      <c r="A16" s="23" t="s">
        <v>448</v>
      </c>
      <c r="B16" s="23" t="s">
        <v>449</v>
      </c>
      <c r="C16" s="7" t="n">
        <v>260</v>
      </c>
      <c r="D16" s="7" t="n">
        <v>5</v>
      </c>
      <c r="E16" s="7" t="n">
        <v>56</v>
      </c>
      <c r="F16" s="7" t="n">
        <v>0</v>
      </c>
    </row>
    <row r="17" customFormat="false" ht="15" hidden="false" customHeight="true" outlineLevel="0" collapsed="false">
      <c r="A17" s="23" t="s">
        <v>450</v>
      </c>
      <c r="B17" s="23" t="s">
        <v>451</v>
      </c>
      <c r="C17" s="7" t="n">
        <v>35</v>
      </c>
      <c r="D17" s="7" t="n">
        <v>3</v>
      </c>
      <c r="E17" s="7" t="n">
        <v>7</v>
      </c>
      <c r="F17" s="7" t="n">
        <v>0</v>
      </c>
    </row>
    <row r="18" customFormat="false" ht="15" hidden="false" customHeight="true" outlineLevel="0" collapsed="false">
      <c r="A18" s="23" t="s">
        <v>452</v>
      </c>
      <c r="B18" s="23" t="s">
        <v>453</v>
      </c>
      <c r="C18" s="7" t="n">
        <v>140</v>
      </c>
      <c r="D18" s="7" t="n">
        <v>12</v>
      </c>
      <c r="E18" s="7" t="n">
        <v>1</v>
      </c>
      <c r="F18" s="7" t="n">
        <v>10</v>
      </c>
    </row>
    <row r="19" customFormat="false" ht="15" hidden="false" customHeight="true" outlineLevel="0" collapsed="false">
      <c r="A19" s="43" t="s">
        <v>443</v>
      </c>
      <c r="B19" s="44"/>
      <c r="C19" s="45" t="n">
        <f aca="false">SUM(C15:C18)</f>
        <v>650</v>
      </c>
      <c r="D19" s="45" t="n">
        <f aca="false">SUM(D15:D18)</f>
        <v>61</v>
      </c>
      <c r="E19" s="45" t="n">
        <f aca="false">SUM(E15:E18)</f>
        <v>64</v>
      </c>
      <c r="F19" s="45" t="n">
        <f aca="false">SUM(F15:F18)</f>
        <v>14</v>
      </c>
    </row>
    <row r="21" customFormat="false" ht="19.5" hidden="false" customHeight="true" outlineLevel="0" collapsed="false">
      <c r="A21" s="14" t="s">
        <v>454</v>
      </c>
      <c r="B21" s="15"/>
      <c r="C21" s="15"/>
      <c r="D21" s="15"/>
      <c r="E21" s="15"/>
      <c r="F21" s="15"/>
    </row>
    <row r="22" customFormat="false" ht="42" hidden="false" customHeight="true" outlineLevel="0" collapsed="false">
      <c r="A22" s="13" t="s">
        <v>455</v>
      </c>
      <c r="B22" s="13"/>
      <c r="C22" s="13"/>
      <c r="D22" s="13"/>
      <c r="E22" s="13"/>
      <c r="F22" s="13"/>
    </row>
    <row r="23" customFormat="false" ht="18" hidden="false" customHeight="true" outlineLevel="0" collapsed="false">
      <c r="A23" s="5" t="s">
        <v>431</v>
      </c>
      <c r="B23" s="5" t="s">
        <v>432</v>
      </c>
      <c r="C23" s="5" t="s">
        <v>433</v>
      </c>
      <c r="D23" s="5" t="s">
        <v>434</v>
      </c>
      <c r="E23" s="5" t="s">
        <v>435</v>
      </c>
      <c r="F23" s="5" t="s">
        <v>436</v>
      </c>
    </row>
    <row r="24" customFormat="false" ht="15" hidden="false" customHeight="true" outlineLevel="0" collapsed="false">
      <c r="A24" s="23" t="s">
        <v>456</v>
      </c>
      <c r="B24" s="23" t="s">
        <v>453</v>
      </c>
      <c r="C24" s="7" t="n">
        <v>140</v>
      </c>
      <c r="D24" s="7" t="n">
        <v>12</v>
      </c>
      <c r="E24" s="7" t="n">
        <v>1</v>
      </c>
      <c r="F24" s="7" t="n">
        <v>10</v>
      </c>
    </row>
    <row r="25" customFormat="false" ht="15" hidden="false" customHeight="true" outlineLevel="0" collapsed="false">
      <c r="A25" s="23" t="s">
        <v>448</v>
      </c>
      <c r="B25" s="23" t="s">
        <v>457</v>
      </c>
      <c r="C25" s="7" t="n">
        <v>208</v>
      </c>
      <c r="D25" s="7" t="n">
        <v>4</v>
      </c>
      <c r="E25" s="7" t="n">
        <v>45</v>
      </c>
      <c r="F25" s="7" t="n">
        <v>0</v>
      </c>
    </row>
    <row r="26" customFormat="false" ht="15" hidden="false" customHeight="true" outlineLevel="0" collapsed="false">
      <c r="A26" s="23" t="s">
        <v>458</v>
      </c>
      <c r="B26" s="23" t="s">
        <v>459</v>
      </c>
      <c r="C26" s="7" t="n">
        <v>87</v>
      </c>
      <c r="D26" s="7" t="n">
        <v>3</v>
      </c>
      <c r="E26" s="7" t="n">
        <v>3</v>
      </c>
      <c r="F26" s="7" t="n">
        <v>8</v>
      </c>
    </row>
    <row r="27" customFormat="false" ht="15" hidden="false" customHeight="true" outlineLevel="0" collapsed="false">
      <c r="A27" s="43" t="s">
        <v>443</v>
      </c>
      <c r="B27" s="44"/>
      <c r="C27" s="45" t="n">
        <f aca="false">SUM(C24:C26)</f>
        <v>435</v>
      </c>
      <c r="D27" s="45" t="n">
        <f aca="false">SUM(D24:D26)</f>
        <v>19</v>
      </c>
      <c r="E27" s="45" t="n">
        <f aca="false">SUM(E24:E26)</f>
        <v>49</v>
      </c>
      <c r="F27" s="45" t="n">
        <f aca="false">SUM(F24:F26)</f>
        <v>18</v>
      </c>
    </row>
    <row r="29" customFormat="false" ht="19.5" hidden="false" customHeight="true" outlineLevel="0" collapsed="false">
      <c r="A29" s="14" t="s">
        <v>460</v>
      </c>
      <c r="B29" s="15"/>
      <c r="C29" s="15"/>
      <c r="D29" s="15"/>
      <c r="E29" s="15"/>
      <c r="F29" s="15"/>
    </row>
    <row r="30" customFormat="false" ht="30" hidden="false" customHeight="true" outlineLevel="0" collapsed="false">
      <c r="A30" s="46" t="s">
        <v>461</v>
      </c>
      <c r="B30" s="46"/>
      <c r="C30" s="46"/>
      <c r="D30" s="46"/>
      <c r="E30" s="46"/>
      <c r="F30" s="46"/>
    </row>
    <row r="31" customFormat="false" ht="18" hidden="false" customHeight="true" outlineLevel="0" collapsed="false">
      <c r="A31" s="5" t="s">
        <v>431</v>
      </c>
      <c r="B31" s="5" t="s">
        <v>432</v>
      </c>
      <c r="C31" s="5" t="s">
        <v>433</v>
      </c>
      <c r="D31" s="5" t="s">
        <v>434</v>
      </c>
      <c r="E31" s="5" t="s">
        <v>435</v>
      </c>
      <c r="F31" s="5" t="s">
        <v>436</v>
      </c>
    </row>
    <row r="32" customFormat="false" ht="15" hidden="false" customHeight="true" outlineLevel="0" collapsed="false">
      <c r="A32" s="23" t="s">
        <v>456</v>
      </c>
      <c r="B32" s="23" t="s">
        <v>453</v>
      </c>
      <c r="C32" s="7" t="n">
        <v>140</v>
      </c>
      <c r="D32" s="7" t="n">
        <v>12</v>
      </c>
      <c r="E32" s="7" t="n">
        <v>1</v>
      </c>
      <c r="F32" s="7" t="n">
        <v>10</v>
      </c>
    </row>
    <row r="33" customFormat="false" ht="15" hidden="false" customHeight="true" outlineLevel="0" collapsed="false">
      <c r="A33" s="23" t="s">
        <v>462</v>
      </c>
      <c r="B33" s="23" t="s">
        <v>463</v>
      </c>
      <c r="C33" s="7" t="n">
        <v>68</v>
      </c>
      <c r="D33" s="7" t="n">
        <v>16</v>
      </c>
      <c r="E33" s="7" t="n">
        <v>0</v>
      </c>
      <c r="F33" s="7" t="n">
        <v>0</v>
      </c>
    </row>
    <row r="34" customFormat="false" ht="15" hidden="false" customHeight="true" outlineLevel="0" collapsed="false">
      <c r="A34" s="47" t="s">
        <v>439</v>
      </c>
      <c r="B34" s="47" t="s">
        <v>464</v>
      </c>
      <c r="C34" s="48" t="n">
        <v>225</v>
      </c>
      <c r="D34" s="48" t="n">
        <v>8</v>
      </c>
      <c r="E34" s="48" t="n">
        <v>39</v>
      </c>
      <c r="F34" s="48" t="n">
        <v>5</v>
      </c>
    </row>
    <row r="35" customFormat="false" ht="15" hidden="false" customHeight="true" outlineLevel="0" collapsed="false">
      <c r="A35" s="43" t="s">
        <v>443</v>
      </c>
      <c r="B35" s="44"/>
      <c r="C35" s="45" t="n">
        <f aca="false">SUM(C32:C34)</f>
        <v>433</v>
      </c>
      <c r="D35" s="45" t="n">
        <f aca="false">SUM(D32:D34)</f>
        <v>36</v>
      </c>
      <c r="E35" s="45" t="n">
        <f aca="false">SUM(E32:E34)</f>
        <v>40</v>
      </c>
      <c r="F35" s="45" t="n">
        <f aca="false">SUM(F32:F34)</f>
        <v>15</v>
      </c>
    </row>
    <row r="37" customFormat="false" ht="19.5" hidden="false" customHeight="true" outlineLevel="0" collapsed="false">
      <c r="A37" s="14" t="s">
        <v>465</v>
      </c>
      <c r="B37" s="15"/>
      <c r="C37" s="15"/>
      <c r="D37" s="15"/>
      <c r="E37" s="15"/>
      <c r="F37" s="15"/>
    </row>
    <row r="38" customFormat="false" ht="30" hidden="false" customHeight="true" outlineLevel="0" collapsed="false">
      <c r="A38" s="46" t="s">
        <v>466</v>
      </c>
      <c r="B38" s="46"/>
      <c r="C38" s="46"/>
      <c r="D38" s="46"/>
      <c r="E38" s="46"/>
      <c r="F38" s="46"/>
    </row>
    <row r="39" customFormat="false" ht="18" hidden="false" customHeight="true" outlineLevel="0" collapsed="false">
      <c r="A39" s="5" t="s">
        <v>431</v>
      </c>
      <c r="B39" s="5" t="s">
        <v>432</v>
      </c>
      <c r="C39" s="5" t="s">
        <v>433</v>
      </c>
      <c r="D39" s="5" t="s">
        <v>434</v>
      </c>
      <c r="E39" s="5" t="s">
        <v>435</v>
      </c>
      <c r="F39" s="5" t="s">
        <v>436</v>
      </c>
    </row>
    <row r="40" customFormat="false" ht="15" hidden="false" customHeight="true" outlineLevel="0" collapsed="false">
      <c r="A40" s="47" t="s">
        <v>446</v>
      </c>
      <c r="B40" s="47" t="s">
        <v>447</v>
      </c>
      <c r="C40" s="48" t="n">
        <v>215</v>
      </c>
      <c r="D40" s="48" t="n">
        <v>41</v>
      </c>
      <c r="E40" s="48" t="n">
        <v>0</v>
      </c>
      <c r="F40" s="48" t="n">
        <v>4</v>
      </c>
    </row>
    <row r="41" customFormat="false" ht="15" hidden="false" customHeight="true" outlineLevel="0" collapsed="false">
      <c r="A41" s="23" t="s">
        <v>450</v>
      </c>
      <c r="B41" s="23" t="s">
        <v>467</v>
      </c>
      <c r="C41" s="7" t="n">
        <v>53</v>
      </c>
      <c r="D41" s="7" t="n">
        <v>5</v>
      </c>
      <c r="E41" s="7" t="n">
        <v>11</v>
      </c>
      <c r="F41" s="7" t="n">
        <v>0</v>
      </c>
    </row>
    <row r="42" customFormat="false" ht="15" hidden="false" customHeight="true" outlineLevel="0" collapsed="false">
      <c r="A42" s="23" t="s">
        <v>448</v>
      </c>
      <c r="B42" s="23" t="s">
        <v>468</v>
      </c>
      <c r="C42" s="7" t="n">
        <v>156</v>
      </c>
      <c r="D42" s="7" t="n">
        <v>3</v>
      </c>
      <c r="E42" s="7" t="n">
        <v>34</v>
      </c>
      <c r="F42" s="7" t="n">
        <v>0</v>
      </c>
    </row>
    <row r="43" customFormat="false" ht="15" hidden="false" customHeight="true" outlineLevel="0" collapsed="false">
      <c r="A43" s="23" t="s">
        <v>469</v>
      </c>
      <c r="B43" s="23" t="s">
        <v>470</v>
      </c>
      <c r="C43" s="7" t="n">
        <v>70</v>
      </c>
      <c r="D43" s="7" t="n">
        <v>6</v>
      </c>
      <c r="E43" s="7" t="n">
        <v>1</v>
      </c>
      <c r="F43" s="7" t="n">
        <v>5</v>
      </c>
    </row>
    <row r="44" customFormat="false" ht="15" hidden="false" customHeight="true" outlineLevel="0" collapsed="false">
      <c r="A44" s="43" t="s">
        <v>443</v>
      </c>
      <c r="B44" s="44"/>
      <c r="C44" s="45" t="n">
        <f aca="false">SUM(C40:C43)</f>
        <v>494</v>
      </c>
      <c r="D44" s="45" t="n">
        <f aca="false">SUM(D40:D43)</f>
        <v>55</v>
      </c>
      <c r="E44" s="45" t="n">
        <f aca="false">SUM(E40:E43)</f>
        <v>46</v>
      </c>
      <c r="F44" s="45" t="n">
        <f aca="false">SUM(F40:F43)</f>
        <v>9</v>
      </c>
    </row>
    <row r="46" customFormat="false" ht="19.5" hidden="false" customHeight="true" outlineLevel="0" collapsed="false">
      <c r="A46" s="33" t="s">
        <v>471</v>
      </c>
      <c r="B46" s="34"/>
      <c r="C46" s="34"/>
      <c r="D46" s="34"/>
      <c r="E46" s="34"/>
      <c r="F46" s="34"/>
    </row>
    <row r="47" customFormat="false" ht="18" hidden="false" customHeight="true" outlineLevel="0" collapsed="false">
      <c r="A47" s="5"/>
      <c r="B47" s="5"/>
      <c r="C47" s="5" t="s">
        <v>433</v>
      </c>
      <c r="D47" s="5" t="s">
        <v>434</v>
      </c>
      <c r="E47" s="5" t="s">
        <v>435</v>
      </c>
      <c r="F47" s="5" t="s">
        <v>436</v>
      </c>
    </row>
    <row r="48" customFormat="false" ht="15" hidden="false" customHeight="true" outlineLevel="0" collapsed="false">
      <c r="A48" s="49" t="s">
        <v>472</v>
      </c>
      <c r="B48" s="50"/>
      <c r="C48" s="51" t="n">
        <f aca="false">C10+C19+C27+C35+C44</f>
        <v>2575</v>
      </c>
      <c r="D48" s="51" t="n">
        <f aca="false">D10+D19+D27+D35+D44</f>
        <v>208</v>
      </c>
      <c r="E48" s="51" t="n">
        <f aca="false">E10+E19+E27+E35+E44</f>
        <v>288</v>
      </c>
      <c r="F48" s="51" t="n">
        <f aca="false">F10+F19+F27+F35+F44</f>
        <v>63</v>
      </c>
    </row>
    <row r="49" customFormat="false" ht="15" hidden="false" customHeight="true" outlineLevel="0" collapsed="false">
      <c r="A49" s="52" t="s">
        <v>473</v>
      </c>
      <c r="B49" s="53"/>
      <c r="C49" s="54" t="n">
        <v>2570</v>
      </c>
      <c r="D49" s="54" t="n">
        <v>205</v>
      </c>
      <c r="E49" s="54" t="n">
        <v>288</v>
      </c>
      <c r="F49" s="54" t="n">
        <v>63</v>
      </c>
    </row>
    <row r="50" customFormat="false" ht="15" hidden="false" customHeight="true" outlineLevel="0" collapsed="false">
      <c r="A50" s="16" t="s">
        <v>474</v>
      </c>
      <c r="B50" s="23"/>
      <c r="C50" s="55" t="n">
        <f aca="false">C48-C49</f>
        <v>5</v>
      </c>
      <c r="D50" s="55" t="n">
        <f aca="false">D48-D49</f>
        <v>3</v>
      </c>
      <c r="E50" s="55" t="n">
        <f aca="false">E48-E49</f>
        <v>0</v>
      </c>
      <c r="F50" s="55" t="n">
        <f aca="false">F48-F49</f>
        <v>0</v>
      </c>
    </row>
    <row r="52" customFormat="false" ht="19.5" hidden="false" customHeight="true" outlineLevel="0" collapsed="false">
      <c r="A52" s="56" t="s">
        <v>475</v>
      </c>
      <c r="B52" s="57"/>
      <c r="C52" s="57"/>
      <c r="D52" s="57"/>
      <c r="E52" s="57"/>
      <c r="F52" s="57"/>
    </row>
    <row r="53" customFormat="false" ht="30" hidden="false" customHeight="true" outlineLevel="0" collapsed="false">
      <c r="A53" s="13" t="s">
        <v>476</v>
      </c>
      <c r="B53" s="13"/>
      <c r="C53" s="13"/>
      <c r="D53" s="13"/>
      <c r="E53" s="13"/>
      <c r="F53" s="13"/>
    </row>
    <row r="54" customFormat="false" ht="18" hidden="false" customHeight="true" outlineLevel="0" collapsed="false">
      <c r="A54" s="5" t="s">
        <v>6</v>
      </c>
      <c r="B54" s="5" t="s">
        <v>477</v>
      </c>
      <c r="C54" s="5" t="s">
        <v>433</v>
      </c>
      <c r="D54" s="5" t="s">
        <v>434</v>
      </c>
      <c r="E54" s="5" t="s">
        <v>435</v>
      </c>
      <c r="F54" s="5" t="s">
        <v>436</v>
      </c>
    </row>
    <row r="55" customFormat="false" ht="15" hidden="false" customHeight="true" outlineLevel="0" collapsed="false">
      <c r="A55" s="23" t="s">
        <v>478</v>
      </c>
      <c r="B55" s="23" t="s">
        <v>479</v>
      </c>
      <c r="C55" s="7" t="n">
        <v>-104</v>
      </c>
      <c r="D55" s="7" t="n">
        <v>-2</v>
      </c>
      <c r="E55" s="7" t="n">
        <v>-22</v>
      </c>
      <c r="F55" s="7" t="n">
        <v>0</v>
      </c>
    </row>
    <row r="56" customFormat="false" ht="15" hidden="false" customHeight="true" outlineLevel="0" collapsed="false">
      <c r="A56" s="23" t="s">
        <v>480</v>
      </c>
      <c r="B56" s="23" t="s">
        <v>481</v>
      </c>
      <c r="C56" s="7" t="n">
        <v>-78</v>
      </c>
      <c r="D56" s="7" t="n">
        <v>-1</v>
      </c>
      <c r="E56" s="7" t="n">
        <v>-17</v>
      </c>
      <c r="F56" s="7" t="n">
        <v>0</v>
      </c>
    </row>
    <row r="57" customFormat="false" ht="15" hidden="false" customHeight="true" outlineLevel="0" collapsed="false">
      <c r="A57" s="23" t="s">
        <v>482</v>
      </c>
      <c r="B57" s="23" t="s">
        <v>483</v>
      </c>
      <c r="C57" s="7" t="n">
        <v>-78</v>
      </c>
      <c r="D57" s="7" t="n">
        <v>-1</v>
      </c>
      <c r="E57" s="7" t="n">
        <v>-17</v>
      </c>
      <c r="F57" s="7" t="n">
        <v>0</v>
      </c>
    </row>
    <row r="58" customFormat="false" ht="15" hidden="false" customHeight="true" outlineLevel="0" collapsed="false">
      <c r="A58" s="58" t="s">
        <v>484</v>
      </c>
      <c r="B58" s="50"/>
      <c r="C58" s="51" t="n">
        <f aca="false">C48+SUM(C55:C57)</f>
        <v>2315</v>
      </c>
      <c r="D58" s="51" t="n">
        <f aca="false">D48+SUM(D55:D57)</f>
        <v>204</v>
      </c>
      <c r="E58" s="51" t="n">
        <f aca="false">E48+SUM(E55:E57)</f>
        <v>232</v>
      </c>
      <c r="F58" s="51" t="n">
        <f aca="false">F48+SUM(F55:F57)</f>
        <v>63</v>
      </c>
    </row>
    <row r="59" customFormat="false" ht="19.5" hidden="false" customHeight="true" outlineLevel="0" collapsed="false">
      <c r="A59" s="14" t="s">
        <v>485</v>
      </c>
      <c r="B59" s="15"/>
      <c r="C59" s="15"/>
      <c r="D59" s="15"/>
      <c r="E59" s="15"/>
      <c r="F59" s="15"/>
    </row>
    <row r="60" customFormat="false" ht="18" hidden="false" customHeight="true" outlineLevel="0" collapsed="false">
      <c r="A60" s="5" t="s">
        <v>486</v>
      </c>
      <c r="B60" s="5" t="s">
        <v>487</v>
      </c>
      <c r="C60" s="5"/>
      <c r="D60" s="5"/>
      <c r="E60" s="5"/>
      <c r="F60" s="5"/>
    </row>
    <row r="61" customFormat="false" ht="48" hidden="false" customHeight="true" outlineLevel="0" collapsed="false">
      <c r="A61" s="28" t="s">
        <v>488</v>
      </c>
      <c r="B61" s="59" t="s">
        <v>489</v>
      </c>
      <c r="C61" s="59"/>
      <c r="D61" s="59"/>
      <c r="E61" s="59"/>
      <c r="F61" s="59"/>
    </row>
    <row r="62" customFormat="false" ht="39.75" hidden="false" customHeight="true" outlineLevel="0" collapsed="false">
      <c r="A62" s="28" t="s">
        <v>490</v>
      </c>
      <c r="B62" s="9" t="s">
        <v>491</v>
      </c>
      <c r="C62" s="9"/>
      <c r="D62" s="9"/>
      <c r="E62" s="9"/>
      <c r="F62" s="9"/>
    </row>
    <row r="63" customFormat="false" ht="39.75" hidden="false" customHeight="true" outlineLevel="0" collapsed="false">
      <c r="A63" s="28" t="s">
        <v>492</v>
      </c>
      <c r="B63" s="9" t="s">
        <v>493</v>
      </c>
      <c r="C63" s="9"/>
      <c r="D63" s="9"/>
      <c r="E63" s="9"/>
      <c r="F63" s="9"/>
    </row>
    <row r="64" customFormat="false" ht="39.75" hidden="false" customHeight="true" outlineLevel="0" collapsed="false">
      <c r="A64" s="28" t="s">
        <v>494</v>
      </c>
      <c r="B64" s="9" t="s">
        <v>495</v>
      </c>
      <c r="C64" s="9"/>
      <c r="D64" s="9"/>
      <c r="E64" s="9"/>
      <c r="F64" s="9"/>
    </row>
    <row r="65" customFormat="false" ht="48" hidden="false" customHeight="true" outlineLevel="0" collapsed="false">
      <c r="A65" s="28" t="s">
        <v>496</v>
      </c>
      <c r="B65" s="9" t="s">
        <v>497</v>
      </c>
      <c r="C65" s="9"/>
      <c r="D65" s="9"/>
      <c r="E65" s="9"/>
      <c r="F65" s="9"/>
    </row>
    <row r="66" customFormat="false" ht="43.5" hidden="false" customHeight="true" outlineLevel="0" collapsed="false">
      <c r="A66" s="28" t="s">
        <v>498</v>
      </c>
      <c r="B66" s="9" t="s">
        <v>499</v>
      </c>
      <c r="C66" s="9"/>
      <c r="D66" s="9"/>
      <c r="E66" s="9"/>
      <c r="F66" s="9"/>
    </row>
    <row r="67" customFormat="false" ht="39.75" hidden="false" customHeight="true" outlineLevel="0" collapsed="false">
      <c r="A67" s="28" t="s">
        <v>500</v>
      </c>
      <c r="B67" s="9" t="s">
        <v>501</v>
      </c>
      <c r="C67" s="9"/>
      <c r="D67" s="9"/>
      <c r="E67" s="9"/>
      <c r="F67" s="9"/>
    </row>
    <row r="68" customFormat="false" ht="33.75" hidden="false" customHeight="true" outlineLevel="0" collapsed="false">
      <c r="A68" s="28" t="s">
        <v>502</v>
      </c>
      <c r="B68" s="9" t="s">
        <v>503</v>
      </c>
      <c r="C68" s="9"/>
      <c r="D68" s="9"/>
      <c r="E68" s="9"/>
      <c r="F68" s="9"/>
    </row>
    <row r="70" customFormat="false" ht="19.5" hidden="false" customHeight="true" outlineLevel="0" collapsed="false">
      <c r="A70" s="60" t="s">
        <v>504</v>
      </c>
      <c r="B70" s="61"/>
      <c r="C70" s="61"/>
      <c r="D70" s="61"/>
      <c r="E70" s="61"/>
      <c r="F70" s="61"/>
    </row>
    <row r="71" customFormat="false" ht="21.75" hidden="false" customHeight="true" outlineLevel="0" collapsed="false">
      <c r="A71" s="13" t="s">
        <v>505</v>
      </c>
      <c r="B71" s="13"/>
      <c r="C71" s="13"/>
      <c r="D71" s="13"/>
      <c r="E71" s="13"/>
      <c r="F71" s="13"/>
    </row>
    <row r="72" customFormat="false" ht="15" hidden="false" customHeight="true" outlineLevel="0" collapsed="false">
      <c r="A72" s="5" t="s">
        <v>506</v>
      </c>
      <c r="B72" s="5" t="s">
        <v>507</v>
      </c>
      <c r="C72" s="5" t="s">
        <v>433</v>
      </c>
      <c r="D72" s="5" t="s">
        <v>434</v>
      </c>
      <c r="E72" s="5" t="s">
        <v>435</v>
      </c>
      <c r="F72" s="5" t="s">
        <v>436</v>
      </c>
    </row>
    <row r="73" customFormat="false" ht="15" hidden="false" customHeight="true" outlineLevel="0" collapsed="false">
      <c r="A73" s="16" t="s">
        <v>508</v>
      </c>
      <c r="B73" s="23" t="s">
        <v>457</v>
      </c>
      <c r="C73" s="7" t="n">
        <v>208</v>
      </c>
      <c r="D73" s="7" t="n">
        <v>4</v>
      </c>
      <c r="E73" s="7" t="n">
        <v>45</v>
      </c>
      <c r="F73" s="7" t="n">
        <v>0</v>
      </c>
    </row>
    <row r="74" customFormat="false" ht="15" hidden="false" customHeight="true" outlineLevel="0" collapsed="false">
      <c r="A74" s="23" t="s">
        <v>509</v>
      </c>
      <c r="B74" s="23" t="s">
        <v>510</v>
      </c>
      <c r="C74" s="7" t="n">
        <v>206</v>
      </c>
      <c r="D74" s="7" t="n">
        <v>4</v>
      </c>
      <c r="E74" s="7" t="n">
        <v>48</v>
      </c>
      <c r="F74" s="7" t="n">
        <v>0</v>
      </c>
    </row>
    <row r="75" customFormat="false" ht="15" hidden="false" customHeight="true" outlineLevel="0" collapsed="false">
      <c r="A75" s="23" t="s">
        <v>511</v>
      </c>
      <c r="B75" s="23" t="s">
        <v>512</v>
      </c>
      <c r="C75" s="7" t="n">
        <v>218</v>
      </c>
      <c r="D75" s="7" t="n">
        <v>5</v>
      </c>
      <c r="E75" s="7" t="n">
        <v>50</v>
      </c>
      <c r="F75" s="7" t="n">
        <v>0</v>
      </c>
    </row>
    <row r="76" customFormat="false" ht="15" hidden="false" customHeight="true" outlineLevel="0" collapsed="false">
      <c r="A76" s="23" t="s">
        <v>513</v>
      </c>
      <c r="B76" s="23" t="s">
        <v>514</v>
      </c>
      <c r="C76" s="7" t="n">
        <v>207</v>
      </c>
      <c r="D76" s="7" t="n">
        <v>7</v>
      </c>
      <c r="E76" s="7" t="n">
        <v>36</v>
      </c>
      <c r="F76" s="7" t="n">
        <v>4</v>
      </c>
    </row>
    <row r="77" customFormat="false" ht="15" hidden="false" customHeight="true" outlineLevel="0" collapsed="false">
      <c r="A77" s="23" t="s">
        <v>515</v>
      </c>
      <c r="B77" s="23" t="s">
        <v>516</v>
      </c>
      <c r="C77" s="7" t="n">
        <v>210</v>
      </c>
      <c r="D77" s="7" t="n">
        <v>2</v>
      </c>
      <c r="E77" s="7" t="n">
        <v>54</v>
      </c>
      <c r="F77" s="7" t="n">
        <v>0</v>
      </c>
    </row>
    <row r="78" customFormat="false" ht="15" hidden="false" customHeight="true" outlineLevel="0" collapsed="false">
      <c r="A78" s="23" t="s">
        <v>517</v>
      </c>
      <c r="B78" s="23" t="s">
        <v>518</v>
      </c>
      <c r="C78" s="7" t="n">
        <v>228</v>
      </c>
      <c r="D78" s="7" t="n">
        <v>7</v>
      </c>
      <c r="E78" s="7" t="n">
        <v>42</v>
      </c>
      <c r="F78" s="7" t="n">
        <v>4</v>
      </c>
    </row>
    <row r="79" customFormat="false" ht="15" hidden="false" customHeight="true" outlineLevel="0" collapsed="false">
      <c r="A79" s="23" t="s">
        <v>519</v>
      </c>
      <c r="B79" s="23" t="s">
        <v>520</v>
      </c>
      <c r="C79" s="7" t="n">
        <v>230</v>
      </c>
      <c r="D79" s="7" t="n">
        <v>8</v>
      </c>
      <c r="E79" s="7" t="n">
        <v>45</v>
      </c>
      <c r="F79" s="7" t="n">
        <v>1</v>
      </c>
    </row>
    <row r="80" customFormat="false" ht="30" hidden="false" customHeight="true" outlineLevel="0" collapsed="false">
      <c r="A80" s="62" t="s">
        <v>521</v>
      </c>
      <c r="B80" s="62"/>
      <c r="C80" s="62"/>
      <c r="D80" s="62"/>
      <c r="E80" s="62"/>
      <c r="F80" s="62"/>
    </row>
  </sheetData>
  <mergeCells count="17">
    <mergeCell ref="A2:F2"/>
    <mergeCell ref="A5:F5"/>
    <mergeCell ref="A13:F13"/>
    <mergeCell ref="A22:F22"/>
    <mergeCell ref="A30:F30"/>
    <mergeCell ref="A38:F38"/>
    <mergeCell ref="A53:F53"/>
    <mergeCell ref="B61:F61"/>
    <mergeCell ref="B62:F62"/>
    <mergeCell ref="B63:F63"/>
    <mergeCell ref="B64:F64"/>
    <mergeCell ref="B65:F65"/>
    <mergeCell ref="B66:F66"/>
    <mergeCell ref="B67:F67"/>
    <mergeCell ref="B68:F68"/>
    <mergeCell ref="A71:F71"/>
    <mergeCell ref="A80:F8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40"/>
    <col collapsed="false" customWidth="true" hidden="false" outlineLevel="0" max="3" min="3" style="1" width="16"/>
    <col collapsed="false" customWidth="true" hidden="false" outlineLevel="0" max="4" min="4" style="1" width="14"/>
    <col collapsed="false" customWidth="true" hidden="false" outlineLevel="0" max="5" min="5" style="1" width="60"/>
  </cols>
  <sheetData>
    <row r="1" customFormat="false" ht="24" hidden="false" customHeight="true" outlineLevel="0" collapsed="false">
      <c r="A1" s="11" t="s">
        <v>522</v>
      </c>
      <c r="B1" s="12"/>
      <c r="C1" s="12"/>
      <c r="D1" s="12"/>
      <c r="E1" s="12"/>
    </row>
    <row r="2" customFormat="false" ht="30" hidden="false" customHeight="true" outlineLevel="0" collapsed="false">
      <c r="A2" s="13" t="s">
        <v>523</v>
      </c>
      <c r="B2" s="13"/>
      <c r="C2" s="13"/>
      <c r="D2" s="13"/>
      <c r="E2" s="13"/>
    </row>
    <row r="4" customFormat="false" ht="18" hidden="false" customHeight="true" outlineLevel="0" collapsed="false">
      <c r="A4" s="5" t="s">
        <v>25</v>
      </c>
      <c r="B4" s="5" t="s">
        <v>524</v>
      </c>
      <c r="C4" s="5" t="s">
        <v>525</v>
      </c>
      <c r="D4" s="5" t="s">
        <v>526</v>
      </c>
      <c r="E4" s="5" t="s">
        <v>527</v>
      </c>
    </row>
    <row r="5" customFormat="false" ht="39.75" hidden="false" customHeight="true" outlineLevel="0" collapsed="false">
      <c r="A5" s="63" t="s">
        <v>528</v>
      </c>
      <c r="B5" s="5" t="s">
        <v>529</v>
      </c>
      <c r="C5" s="64" t="s">
        <v>530</v>
      </c>
      <c r="D5" s="65" t="s">
        <v>531</v>
      </c>
      <c r="E5" s="9" t="s">
        <v>532</v>
      </c>
    </row>
    <row r="6" customFormat="false" ht="39.75" hidden="false" customHeight="true" outlineLevel="0" collapsed="false">
      <c r="A6" s="63" t="s">
        <v>533</v>
      </c>
      <c r="B6" s="5" t="s">
        <v>534</v>
      </c>
      <c r="C6" s="64" t="s">
        <v>530</v>
      </c>
      <c r="D6" s="65" t="s">
        <v>535</v>
      </c>
      <c r="E6" s="9" t="s">
        <v>536</v>
      </c>
    </row>
    <row r="7" customFormat="false" ht="39.75" hidden="false" customHeight="true" outlineLevel="0" collapsed="false">
      <c r="A7" s="66" t="s">
        <v>537</v>
      </c>
      <c r="B7" s="35" t="s">
        <v>538</v>
      </c>
      <c r="C7" s="67" t="s">
        <v>530</v>
      </c>
      <c r="D7" s="68" t="s">
        <v>539</v>
      </c>
      <c r="E7" s="9" t="s">
        <v>540</v>
      </c>
    </row>
    <row r="8" customFormat="false" ht="39.75" hidden="false" customHeight="true" outlineLevel="0" collapsed="false">
      <c r="A8" s="63" t="s">
        <v>541</v>
      </c>
      <c r="B8" s="5" t="s">
        <v>542</v>
      </c>
      <c r="C8" s="64" t="s">
        <v>530</v>
      </c>
      <c r="D8" s="65" t="s">
        <v>31</v>
      </c>
      <c r="E8" s="9" t="s">
        <v>543</v>
      </c>
    </row>
    <row r="9" customFormat="false" ht="39.75" hidden="false" customHeight="true" outlineLevel="0" collapsed="false">
      <c r="A9" s="63" t="s">
        <v>544</v>
      </c>
      <c r="B9" s="5" t="s">
        <v>545</v>
      </c>
      <c r="C9" s="64" t="s">
        <v>530</v>
      </c>
      <c r="D9" s="65" t="s">
        <v>535</v>
      </c>
      <c r="E9" s="9" t="s">
        <v>546</v>
      </c>
    </row>
    <row r="10" customFormat="false" ht="39.75" hidden="false" customHeight="true" outlineLevel="0" collapsed="false">
      <c r="A10" s="66" t="s">
        <v>547</v>
      </c>
      <c r="B10" s="35" t="s">
        <v>548</v>
      </c>
      <c r="C10" s="67" t="s">
        <v>530</v>
      </c>
      <c r="D10" s="68" t="s">
        <v>549</v>
      </c>
      <c r="E10" s="9" t="s">
        <v>550</v>
      </c>
    </row>
    <row r="11" customFormat="false" ht="39.75" hidden="false" customHeight="true" outlineLevel="0" collapsed="false">
      <c r="A11" s="69" t="s">
        <v>551</v>
      </c>
      <c r="B11" s="70" t="s">
        <v>552</v>
      </c>
      <c r="C11" s="71" t="s">
        <v>530</v>
      </c>
      <c r="D11" s="72" t="s">
        <v>553</v>
      </c>
      <c r="E11" s="9" t="s">
        <v>554</v>
      </c>
    </row>
    <row r="14" customFormat="false" ht="19.5" hidden="false" customHeight="true" outlineLevel="0" collapsed="false">
      <c r="A14" s="14" t="s">
        <v>555</v>
      </c>
      <c r="B14" s="15"/>
      <c r="C14" s="15"/>
      <c r="D14" s="15"/>
      <c r="E14" s="15"/>
    </row>
    <row r="15" customFormat="false" ht="18" hidden="false" customHeight="true" outlineLevel="0" collapsed="false">
      <c r="A15" s="5" t="s">
        <v>556</v>
      </c>
      <c r="B15" s="5" t="s">
        <v>557</v>
      </c>
      <c r="C15" s="5"/>
      <c r="D15" s="5"/>
      <c r="E15" s="5"/>
    </row>
    <row r="16" customFormat="false" ht="31.5" hidden="false" customHeight="true" outlineLevel="0" collapsed="false">
      <c r="A16" s="28" t="s">
        <v>558</v>
      </c>
      <c r="B16" s="9" t="s">
        <v>559</v>
      </c>
      <c r="C16" s="9"/>
      <c r="D16" s="9"/>
      <c r="E16" s="9"/>
    </row>
    <row r="17" customFormat="false" ht="31.5" hidden="false" customHeight="true" outlineLevel="0" collapsed="false">
      <c r="A17" s="28" t="s">
        <v>560</v>
      </c>
      <c r="B17" s="9" t="s">
        <v>561</v>
      </c>
      <c r="C17" s="9"/>
      <c r="D17" s="9"/>
      <c r="E17" s="9"/>
    </row>
    <row r="18" customFormat="false" ht="31.5" hidden="false" customHeight="true" outlineLevel="0" collapsed="false">
      <c r="A18" s="28" t="s">
        <v>562</v>
      </c>
      <c r="B18" s="9" t="s">
        <v>563</v>
      </c>
      <c r="C18" s="9"/>
      <c r="D18" s="9"/>
      <c r="E18" s="9"/>
    </row>
    <row r="19" customFormat="false" ht="31.5" hidden="false" customHeight="true" outlineLevel="0" collapsed="false">
      <c r="A19" s="28" t="s">
        <v>564</v>
      </c>
      <c r="B19" s="9" t="s">
        <v>565</v>
      </c>
      <c r="C19" s="9"/>
      <c r="D19" s="9"/>
      <c r="E19" s="9"/>
    </row>
    <row r="20" customFormat="false" ht="31.5" hidden="false" customHeight="true" outlineLevel="0" collapsed="false">
      <c r="A20" s="28" t="s">
        <v>566</v>
      </c>
      <c r="B20" s="9" t="s">
        <v>567</v>
      </c>
      <c r="C20" s="9"/>
      <c r="D20" s="9"/>
      <c r="E20" s="9"/>
    </row>
    <row r="21" customFormat="false" ht="31.5" hidden="false" customHeight="true" outlineLevel="0" collapsed="false">
      <c r="A21" s="28" t="s">
        <v>568</v>
      </c>
      <c r="B21" s="9" t="s">
        <v>569</v>
      </c>
      <c r="C21" s="9"/>
      <c r="D21" s="9"/>
      <c r="E21" s="9"/>
    </row>
  </sheetData>
  <mergeCells count="7">
    <mergeCell ref="A2:E2"/>
    <mergeCell ref="B16:E16"/>
    <mergeCell ref="B17:E17"/>
    <mergeCell ref="B18:E18"/>
    <mergeCell ref="B19:E19"/>
    <mergeCell ref="B20:E20"/>
    <mergeCell ref="B21:E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2026-08-20T10:35:53Z</dcterms:created>
  <dc:creator>openpyxl</dc:creator>
  <dc:description/>
  <dc:language>en-US</dc:language>
  <cp:lastModifiedBy/>
  <dcterms:modified xsi:type="dcterms:W3CDTF">2026-10-11T05:22:45Z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